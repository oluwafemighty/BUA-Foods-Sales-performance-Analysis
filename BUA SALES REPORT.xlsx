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FEMI\Projects\Bua-sales-Report\"/>
    </mc:Choice>
  </mc:AlternateContent>
  <bookViews>
    <workbookView xWindow="0" yWindow="0" windowWidth="15345" windowHeight="4455"/>
  </bookViews>
  <sheets>
    <sheet name="Pivot Table" sheetId="2" r:id="rId1"/>
    <sheet name="Dashboard" sheetId="4" r:id="rId2"/>
    <sheet name="Data Source" sheetId="1" r:id="rId3"/>
  </sheets>
  <definedNames>
    <definedName name="_xlcn.WorksheetConnection_Sheet1A2M3861" hidden="1">'Data Source'!$A$2:$M$386</definedName>
    <definedName name="Slicer_Product">#N/A</definedName>
    <definedName name="Slicer_Region">#N/A</definedName>
    <definedName name="Slicer_Year">#N/A</definedName>
  </definedNames>
  <calcPr calcId="162913"/>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2:$M$386"/>
        </x15:modelTables>
      </x15:dataModel>
    </ext>
  </extLst>
</workbook>
</file>

<file path=xl/calcChain.xml><?xml version="1.0" encoding="utf-8"?>
<calcChain xmlns="http://schemas.openxmlformats.org/spreadsheetml/2006/main">
  <c r="K196" i="1" l="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195" i="1"/>
  <c r="K194" i="1"/>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3" i="1"/>
  <c r="Q386" i="1" l="1"/>
  <c r="L386" i="1"/>
  <c r="M386" i="1" s="1"/>
  <c r="I386" i="1"/>
  <c r="Q385" i="1"/>
  <c r="L385" i="1"/>
  <c r="M385" i="1" s="1"/>
  <c r="I385" i="1"/>
  <c r="Q384" i="1"/>
  <c r="L384" i="1"/>
  <c r="M384" i="1" s="1"/>
  <c r="I384" i="1"/>
  <c r="S383" i="1"/>
  <c r="Q383" i="1"/>
  <c r="L383" i="1"/>
  <c r="M383" i="1" s="1"/>
  <c r="I383" i="1"/>
  <c r="Q382" i="1"/>
  <c r="L382" i="1"/>
  <c r="M382" i="1" s="1"/>
  <c r="I382" i="1"/>
  <c r="L381" i="1"/>
  <c r="M381" i="1" s="1"/>
  <c r="I381" i="1"/>
  <c r="L380" i="1"/>
  <c r="M380" i="1" s="1"/>
  <c r="I380" i="1"/>
  <c r="L379" i="1"/>
  <c r="M379" i="1" s="1"/>
  <c r="I379" i="1"/>
  <c r="L378" i="1"/>
  <c r="M378" i="1" s="1"/>
  <c r="I378" i="1"/>
  <c r="L377" i="1"/>
  <c r="M377" i="1" s="1"/>
  <c r="I377" i="1"/>
  <c r="L376" i="1"/>
  <c r="M376" i="1" s="1"/>
  <c r="I376" i="1"/>
  <c r="L375" i="1"/>
  <c r="M375" i="1" s="1"/>
  <c r="I375" i="1"/>
  <c r="L374" i="1"/>
  <c r="M374" i="1" s="1"/>
  <c r="I374" i="1"/>
  <c r="L373" i="1"/>
  <c r="M373" i="1" s="1"/>
  <c r="I373" i="1"/>
  <c r="L372" i="1"/>
  <c r="M372" i="1" s="1"/>
  <c r="I372" i="1"/>
  <c r="L371" i="1"/>
  <c r="M371" i="1" s="1"/>
  <c r="I371" i="1"/>
  <c r="L370" i="1"/>
  <c r="M370" i="1" s="1"/>
  <c r="I370" i="1"/>
  <c r="L369" i="1"/>
  <c r="M369" i="1" s="1"/>
  <c r="I369" i="1"/>
  <c r="L368" i="1"/>
  <c r="M368" i="1" s="1"/>
  <c r="I368" i="1"/>
  <c r="L367" i="1"/>
  <c r="M367" i="1" s="1"/>
  <c r="I367" i="1"/>
  <c r="L366" i="1"/>
  <c r="M366" i="1" s="1"/>
  <c r="I366" i="1"/>
  <c r="L365" i="1"/>
  <c r="M365" i="1" s="1"/>
  <c r="I365" i="1"/>
  <c r="L364" i="1"/>
  <c r="M364" i="1" s="1"/>
  <c r="I364" i="1"/>
  <c r="L363" i="1"/>
  <c r="M363" i="1" s="1"/>
  <c r="I363" i="1"/>
  <c r="L362" i="1"/>
  <c r="M362" i="1" s="1"/>
  <c r="I362" i="1"/>
  <c r="L361" i="1"/>
  <c r="M361" i="1" s="1"/>
  <c r="I361" i="1"/>
  <c r="L360" i="1"/>
  <c r="M360" i="1" s="1"/>
  <c r="I360" i="1"/>
  <c r="L359" i="1"/>
  <c r="M359" i="1" s="1"/>
  <c r="I359" i="1"/>
  <c r="L358" i="1"/>
  <c r="M358" i="1" s="1"/>
  <c r="I358" i="1"/>
  <c r="L357" i="1"/>
  <c r="M357" i="1" s="1"/>
  <c r="I357" i="1"/>
  <c r="L356" i="1"/>
  <c r="M356" i="1" s="1"/>
  <c r="I356" i="1"/>
  <c r="L355" i="1"/>
  <c r="M355" i="1" s="1"/>
  <c r="I355" i="1"/>
  <c r="L354" i="1"/>
  <c r="M354" i="1" s="1"/>
  <c r="I354" i="1"/>
  <c r="L353" i="1"/>
  <c r="M353" i="1" s="1"/>
  <c r="I353" i="1"/>
  <c r="L352" i="1"/>
  <c r="M352" i="1" s="1"/>
  <c r="I352" i="1"/>
  <c r="L351" i="1"/>
  <c r="M351" i="1" s="1"/>
  <c r="I351" i="1"/>
  <c r="L350" i="1"/>
  <c r="M350" i="1" s="1"/>
  <c r="I350" i="1"/>
  <c r="L349" i="1"/>
  <c r="M349" i="1" s="1"/>
  <c r="I349" i="1"/>
  <c r="L348" i="1"/>
  <c r="M348" i="1" s="1"/>
  <c r="I348" i="1"/>
  <c r="L347" i="1"/>
  <c r="M347" i="1" s="1"/>
  <c r="I347" i="1"/>
  <c r="L346" i="1"/>
  <c r="M346" i="1" s="1"/>
  <c r="I346" i="1"/>
  <c r="L345" i="1"/>
  <c r="M345" i="1" s="1"/>
  <c r="I345" i="1"/>
  <c r="L344" i="1"/>
  <c r="M344" i="1" s="1"/>
  <c r="I344" i="1"/>
  <c r="L343" i="1"/>
  <c r="M343" i="1" s="1"/>
  <c r="I343" i="1"/>
  <c r="L342" i="1"/>
  <c r="M342" i="1" s="1"/>
  <c r="I342" i="1"/>
  <c r="L341" i="1"/>
  <c r="M341" i="1" s="1"/>
  <c r="I341" i="1"/>
  <c r="L340" i="1"/>
  <c r="M340" i="1" s="1"/>
  <c r="I340" i="1"/>
  <c r="L339" i="1"/>
  <c r="M339" i="1" s="1"/>
  <c r="I339" i="1"/>
  <c r="Q338" i="1"/>
  <c r="L338" i="1"/>
  <c r="M338" i="1" s="1"/>
  <c r="I338" i="1"/>
  <c r="Q337" i="1"/>
  <c r="L337" i="1"/>
  <c r="M337" i="1" s="1"/>
  <c r="I337" i="1"/>
  <c r="Q336" i="1"/>
  <c r="L336" i="1"/>
  <c r="M336" i="1" s="1"/>
  <c r="I336" i="1"/>
  <c r="Q335" i="1"/>
  <c r="L335" i="1"/>
  <c r="M335" i="1" s="1"/>
  <c r="I335" i="1"/>
  <c r="Q334" i="1"/>
  <c r="L334" i="1"/>
  <c r="M334" i="1" s="1"/>
  <c r="I334" i="1"/>
  <c r="L333" i="1"/>
  <c r="M333" i="1" s="1"/>
  <c r="I333" i="1"/>
  <c r="L332" i="1"/>
  <c r="M332" i="1" s="1"/>
  <c r="I332" i="1"/>
  <c r="L331" i="1"/>
  <c r="M331" i="1" s="1"/>
  <c r="I331" i="1"/>
  <c r="L330" i="1"/>
  <c r="M330" i="1" s="1"/>
  <c r="I330" i="1"/>
  <c r="L329" i="1"/>
  <c r="M329" i="1" s="1"/>
  <c r="I329" i="1"/>
  <c r="L328" i="1"/>
  <c r="M328" i="1" s="1"/>
  <c r="I328" i="1"/>
  <c r="L327" i="1"/>
  <c r="M327" i="1" s="1"/>
  <c r="I327" i="1"/>
  <c r="L326" i="1"/>
  <c r="M326" i="1" s="1"/>
  <c r="I326" i="1"/>
  <c r="L325" i="1"/>
  <c r="M325" i="1" s="1"/>
  <c r="I325" i="1"/>
  <c r="L324" i="1"/>
  <c r="M324" i="1" s="1"/>
  <c r="I324" i="1"/>
  <c r="L323" i="1"/>
  <c r="M323" i="1" s="1"/>
  <c r="I323" i="1"/>
  <c r="L322" i="1"/>
  <c r="M322" i="1" s="1"/>
  <c r="I322" i="1"/>
  <c r="L321" i="1"/>
  <c r="M321" i="1" s="1"/>
  <c r="I321" i="1"/>
  <c r="L320" i="1"/>
  <c r="M320" i="1" s="1"/>
  <c r="I320" i="1"/>
  <c r="L319" i="1"/>
  <c r="M319" i="1" s="1"/>
  <c r="I319" i="1"/>
  <c r="L318" i="1"/>
  <c r="M318" i="1" s="1"/>
  <c r="I318" i="1"/>
  <c r="L317" i="1"/>
  <c r="M317" i="1" s="1"/>
  <c r="I317" i="1"/>
  <c r="L316" i="1"/>
  <c r="M316" i="1" s="1"/>
  <c r="I316" i="1"/>
  <c r="L315" i="1"/>
  <c r="M315" i="1" s="1"/>
  <c r="I315" i="1"/>
  <c r="L314" i="1"/>
  <c r="M314" i="1" s="1"/>
  <c r="I314" i="1"/>
  <c r="L313" i="1"/>
  <c r="M313" i="1" s="1"/>
  <c r="I313" i="1"/>
  <c r="L312" i="1"/>
  <c r="M312" i="1" s="1"/>
  <c r="I312" i="1"/>
  <c r="L311" i="1"/>
  <c r="M311" i="1" s="1"/>
  <c r="I311" i="1"/>
  <c r="L310" i="1"/>
  <c r="M310" i="1" s="1"/>
  <c r="I310" i="1"/>
  <c r="L309" i="1"/>
  <c r="M309" i="1" s="1"/>
  <c r="I309" i="1"/>
  <c r="L308" i="1"/>
  <c r="M308" i="1" s="1"/>
  <c r="I308" i="1"/>
  <c r="L307" i="1"/>
  <c r="M307" i="1" s="1"/>
  <c r="I307" i="1"/>
  <c r="L306" i="1"/>
  <c r="M306" i="1" s="1"/>
  <c r="I306" i="1"/>
  <c r="L305" i="1"/>
  <c r="M305" i="1" s="1"/>
  <c r="I305" i="1"/>
  <c r="L304" i="1"/>
  <c r="M304" i="1" s="1"/>
  <c r="I304" i="1"/>
  <c r="L303" i="1"/>
  <c r="M303" i="1" s="1"/>
  <c r="I303" i="1"/>
  <c r="L302" i="1"/>
  <c r="M302" i="1" s="1"/>
  <c r="I302" i="1"/>
  <c r="L301" i="1"/>
  <c r="M301" i="1" s="1"/>
  <c r="I301" i="1"/>
  <c r="L300" i="1"/>
  <c r="M300" i="1" s="1"/>
  <c r="I300" i="1"/>
  <c r="L299" i="1"/>
  <c r="M299" i="1" s="1"/>
  <c r="I299" i="1"/>
  <c r="L298" i="1"/>
  <c r="M298" i="1" s="1"/>
  <c r="I298" i="1"/>
  <c r="L297" i="1"/>
  <c r="M297" i="1" s="1"/>
  <c r="I297" i="1"/>
  <c r="L296" i="1"/>
  <c r="M296" i="1" s="1"/>
  <c r="I296" i="1"/>
  <c r="L295" i="1"/>
  <c r="M295" i="1" s="1"/>
  <c r="I295" i="1"/>
  <c r="L294" i="1"/>
  <c r="M294" i="1" s="1"/>
  <c r="I294" i="1"/>
  <c r="L293" i="1"/>
  <c r="M293" i="1" s="1"/>
  <c r="I293" i="1"/>
  <c r="L292" i="1"/>
  <c r="M292" i="1" s="1"/>
  <c r="I292" i="1"/>
  <c r="L291" i="1"/>
  <c r="M291" i="1" s="1"/>
  <c r="I291" i="1"/>
  <c r="L290" i="1"/>
  <c r="M290" i="1" s="1"/>
  <c r="I290" i="1"/>
  <c r="L289" i="1"/>
  <c r="M289" i="1" s="1"/>
  <c r="I289" i="1"/>
  <c r="L288" i="1"/>
  <c r="M288" i="1" s="1"/>
  <c r="I288" i="1"/>
  <c r="L287" i="1"/>
  <c r="M287" i="1" s="1"/>
  <c r="I287" i="1"/>
  <c r="Q287" i="1" s="1"/>
  <c r="S382" i="1" s="1"/>
  <c r="Q286" i="1"/>
  <c r="L286" i="1"/>
  <c r="M286" i="1" s="1"/>
  <c r="I286" i="1"/>
  <c r="L285" i="1"/>
  <c r="M285" i="1" s="1"/>
  <c r="I285" i="1"/>
  <c r="L284" i="1"/>
  <c r="M284" i="1" s="1"/>
  <c r="I284" i="1"/>
  <c r="L283" i="1"/>
  <c r="M283" i="1" s="1"/>
  <c r="I283" i="1"/>
  <c r="L282" i="1"/>
  <c r="M282" i="1" s="1"/>
  <c r="I282" i="1"/>
  <c r="L281" i="1"/>
  <c r="M281" i="1" s="1"/>
  <c r="I281" i="1"/>
  <c r="L280" i="1"/>
  <c r="M280" i="1" s="1"/>
  <c r="I280" i="1"/>
  <c r="L279" i="1"/>
  <c r="M279" i="1" s="1"/>
  <c r="I279" i="1"/>
  <c r="L278" i="1"/>
  <c r="M278" i="1" s="1"/>
  <c r="I278" i="1"/>
  <c r="L277" i="1"/>
  <c r="M277" i="1" s="1"/>
  <c r="I277" i="1"/>
  <c r="L276" i="1"/>
  <c r="M276" i="1" s="1"/>
  <c r="I276" i="1"/>
  <c r="L275" i="1"/>
  <c r="M275" i="1" s="1"/>
  <c r="I275" i="1"/>
  <c r="L274" i="1"/>
  <c r="M274" i="1" s="1"/>
  <c r="I274" i="1"/>
  <c r="L273" i="1"/>
  <c r="M273" i="1" s="1"/>
  <c r="I273" i="1"/>
  <c r="L272" i="1"/>
  <c r="M272" i="1" s="1"/>
  <c r="I272" i="1"/>
  <c r="L271" i="1"/>
  <c r="M271" i="1" s="1"/>
  <c r="I271" i="1"/>
  <c r="L270" i="1"/>
  <c r="M270" i="1" s="1"/>
  <c r="I270" i="1"/>
  <c r="L269" i="1"/>
  <c r="M269" i="1" s="1"/>
  <c r="I269" i="1"/>
  <c r="L268" i="1"/>
  <c r="M268" i="1" s="1"/>
  <c r="I268" i="1"/>
  <c r="L267" i="1"/>
  <c r="M267" i="1" s="1"/>
  <c r="I267" i="1"/>
  <c r="L266" i="1"/>
  <c r="M266" i="1" s="1"/>
  <c r="I266" i="1"/>
  <c r="L265" i="1"/>
  <c r="M265" i="1" s="1"/>
  <c r="I265" i="1"/>
  <c r="L264" i="1"/>
  <c r="M264" i="1" s="1"/>
  <c r="I264" i="1"/>
  <c r="L263" i="1"/>
  <c r="M263" i="1" s="1"/>
  <c r="I263" i="1"/>
  <c r="L262" i="1"/>
  <c r="M262" i="1" s="1"/>
  <c r="I262" i="1"/>
  <c r="L261" i="1"/>
  <c r="M261" i="1" s="1"/>
  <c r="I261" i="1"/>
  <c r="L260" i="1"/>
  <c r="M260" i="1" s="1"/>
  <c r="I260" i="1"/>
  <c r="L259" i="1"/>
  <c r="M259" i="1" s="1"/>
  <c r="I259" i="1"/>
  <c r="L258" i="1"/>
  <c r="M258" i="1" s="1"/>
  <c r="I258" i="1"/>
  <c r="L257" i="1"/>
  <c r="M257" i="1" s="1"/>
  <c r="I257" i="1"/>
  <c r="L256" i="1"/>
  <c r="M256" i="1" s="1"/>
  <c r="I256" i="1"/>
  <c r="L255" i="1"/>
  <c r="M255" i="1" s="1"/>
  <c r="I255" i="1"/>
  <c r="L254" i="1"/>
  <c r="M254" i="1" s="1"/>
  <c r="I254" i="1"/>
  <c r="L253" i="1"/>
  <c r="M253" i="1" s="1"/>
  <c r="I253" i="1"/>
  <c r="L252" i="1"/>
  <c r="M252" i="1" s="1"/>
  <c r="I252" i="1"/>
  <c r="L251" i="1"/>
  <c r="M251" i="1" s="1"/>
  <c r="I251" i="1"/>
  <c r="L250" i="1"/>
  <c r="M250" i="1" s="1"/>
  <c r="I250" i="1"/>
  <c r="L249" i="1"/>
  <c r="M249" i="1" s="1"/>
  <c r="I249" i="1"/>
  <c r="L248" i="1"/>
  <c r="M248" i="1" s="1"/>
  <c r="I248" i="1"/>
  <c r="L247" i="1"/>
  <c r="M247" i="1" s="1"/>
  <c r="I247" i="1"/>
  <c r="L246" i="1"/>
  <c r="M246" i="1" s="1"/>
  <c r="I246" i="1"/>
  <c r="L245" i="1"/>
  <c r="M245" i="1" s="1"/>
  <c r="I245" i="1"/>
  <c r="L244" i="1"/>
  <c r="M244" i="1" s="1"/>
  <c r="I244" i="1"/>
  <c r="L243" i="1"/>
  <c r="M243" i="1" s="1"/>
  <c r="I243" i="1"/>
  <c r="L242" i="1"/>
  <c r="M242" i="1" s="1"/>
  <c r="I242" i="1"/>
  <c r="L241" i="1"/>
  <c r="M241" i="1" s="1"/>
  <c r="I241" i="1"/>
  <c r="L240" i="1"/>
  <c r="M240" i="1" s="1"/>
  <c r="I240" i="1"/>
  <c r="L239" i="1"/>
  <c r="M239" i="1" s="1"/>
  <c r="I239" i="1"/>
  <c r="L238" i="1"/>
  <c r="M238" i="1" s="1"/>
  <c r="I238" i="1"/>
  <c r="L237" i="1"/>
  <c r="M237" i="1" s="1"/>
  <c r="I237" i="1"/>
  <c r="L236" i="1"/>
  <c r="M236" i="1" s="1"/>
  <c r="I236" i="1"/>
  <c r="L235" i="1"/>
  <c r="M235" i="1" s="1"/>
  <c r="I235" i="1"/>
  <c r="L234" i="1"/>
  <c r="M234" i="1" s="1"/>
  <c r="I234" i="1"/>
  <c r="L233" i="1"/>
  <c r="M233" i="1" s="1"/>
  <c r="I233" i="1"/>
  <c r="L232" i="1"/>
  <c r="M232" i="1" s="1"/>
  <c r="I232" i="1"/>
  <c r="Q231" i="1"/>
  <c r="L231" i="1"/>
  <c r="M231" i="1" s="1"/>
  <c r="I231" i="1"/>
  <c r="Q230" i="1"/>
  <c r="L230" i="1"/>
  <c r="M230" i="1" s="1"/>
  <c r="I230" i="1"/>
  <c r="Q229" i="1"/>
  <c r="L229" i="1"/>
  <c r="M229" i="1" s="1"/>
  <c r="I229" i="1"/>
  <c r="L228" i="1"/>
  <c r="M228" i="1" s="1"/>
  <c r="I228" i="1"/>
  <c r="L227" i="1"/>
  <c r="M227" i="1" s="1"/>
  <c r="I227" i="1"/>
  <c r="L226" i="1"/>
  <c r="M226" i="1" s="1"/>
  <c r="I226" i="1"/>
  <c r="L225" i="1"/>
  <c r="M225" i="1" s="1"/>
  <c r="I225" i="1"/>
  <c r="L224" i="1"/>
  <c r="M224" i="1" s="1"/>
  <c r="I224" i="1"/>
  <c r="L223" i="1"/>
  <c r="M223" i="1" s="1"/>
  <c r="I223" i="1"/>
  <c r="L222" i="1"/>
  <c r="M222" i="1" s="1"/>
  <c r="I222" i="1"/>
  <c r="L221" i="1"/>
  <c r="M221" i="1" s="1"/>
  <c r="I221" i="1"/>
  <c r="L220" i="1"/>
  <c r="M220" i="1" s="1"/>
  <c r="I220" i="1"/>
  <c r="L219" i="1"/>
  <c r="M219" i="1" s="1"/>
  <c r="I219" i="1"/>
  <c r="L218" i="1"/>
  <c r="M218" i="1" s="1"/>
  <c r="I218" i="1"/>
  <c r="L217" i="1"/>
  <c r="M217" i="1" s="1"/>
  <c r="I217" i="1"/>
  <c r="L216" i="1"/>
  <c r="M216" i="1" s="1"/>
  <c r="I216" i="1"/>
  <c r="L215" i="1"/>
  <c r="M215" i="1" s="1"/>
  <c r="I215" i="1"/>
  <c r="L214" i="1"/>
  <c r="M214" i="1" s="1"/>
  <c r="I214" i="1"/>
  <c r="L213" i="1"/>
  <c r="M213" i="1" s="1"/>
  <c r="I213" i="1"/>
  <c r="L212" i="1"/>
  <c r="M212" i="1" s="1"/>
  <c r="I212" i="1"/>
  <c r="L211" i="1"/>
  <c r="M211" i="1" s="1"/>
  <c r="I211" i="1"/>
  <c r="L210" i="1"/>
  <c r="M210" i="1" s="1"/>
  <c r="I210" i="1"/>
  <c r="L209" i="1"/>
  <c r="M209" i="1" s="1"/>
  <c r="I209" i="1"/>
  <c r="L208" i="1"/>
  <c r="M208" i="1" s="1"/>
  <c r="I208" i="1"/>
  <c r="L207" i="1"/>
  <c r="M207" i="1" s="1"/>
  <c r="I207" i="1"/>
  <c r="L206" i="1"/>
  <c r="M206" i="1" s="1"/>
  <c r="I206" i="1"/>
  <c r="L205" i="1"/>
  <c r="M205" i="1" s="1"/>
  <c r="I205" i="1"/>
  <c r="L204" i="1"/>
  <c r="M204" i="1" s="1"/>
  <c r="I204" i="1"/>
  <c r="L203" i="1"/>
  <c r="M203" i="1" s="1"/>
  <c r="I203" i="1"/>
  <c r="L202" i="1"/>
  <c r="M202" i="1" s="1"/>
  <c r="I202" i="1"/>
  <c r="Q233" i="1" s="1"/>
  <c r="L201" i="1"/>
  <c r="M201" i="1" s="1"/>
  <c r="I201" i="1"/>
  <c r="L200" i="1"/>
  <c r="M200" i="1" s="1"/>
  <c r="I200" i="1"/>
  <c r="L199" i="1"/>
  <c r="M199" i="1" s="1"/>
  <c r="I199" i="1"/>
  <c r="L198" i="1"/>
  <c r="M198" i="1" s="1"/>
  <c r="I198" i="1"/>
  <c r="L197" i="1"/>
  <c r="M197" i="1" s="1"/>
  <c r="I197" i="1"/>
  <c r="L196" i="1"/>
  <c r="M196" i="1" s="1"/>
  <c r="I196" i="1"/>
  <c r="L195" i="1"/>
  <c r="M195" i="1" s="1"/>
  <c r="I195" i="1"/>
  <c r="L194" i="1"/>
  <c r="M194" i="1" s="1"/>
  <c r="I194" i="1"/>
  <c r="L193" i="1"/>
  <c r="M193" i="1" s="1"/>
  <c r="I193" i="1"/>
  <c r="L192" i="1"/>
  <c r="M192" i="1" s="1"/>
  <c r="I192" i="1"/>
  <c r="Q191" i="1"/>
  <c r="L191" i="1"/>
  <c r="M191" i="1" s="1"/>
  <c r="I191" i="1"/>
  <c r="Q190" i="1" s="1"/>
  <c r="L190" i="1"/>
  <c r="M190" i="1" s="1"/>
  <c r="I190" i="1"/>
  <c r="L189" i="1"/>
  <c r="M189" i="1" s="1"/>
  <c r="I189" i="1"/>
  <c r="L188" i="1"/>
  <c r="M188" i="1" s="1"/>
  <c r="I188" i="1"/>
  <c r="L187" i="1"/>
  <c r="M187" i="1" s="1"/>
  <c r="I187" i="1"/>
  <c r="L186" i="1"/>
  <c r="M186" i="1" s="1"/>
  <c r="I186" i="1"/>
  <c r="L185" i="1"/>
  <c r="M185" i="1" s="1"/>
  <c r="I185" i="1"/>
  <c r="L184" i="1"/>
  <c r="M184" i="1" s="1"/>
  <c r="I184" i="1"/>
  <c r="L183" i="1"/>
  <c r="M183" i="1" s="1"/>
  <c r="I183" i="1"/>
  <c r="L182" i="1"/>
  <c r="M182" i="1" s="1"/>
  <c r="I182" i="1"/>
  <c r="L181" i="1"/>
  <c r="M181" i="1" s="1"/>
  <c r="I181" i="1"/>
  <c r="L180" i="1"/>
  <c r="M180" i="1" s="1"/>
  <c r="I180" i="1"/>
  <c r="L179" i="1"/>
  <c r="M179" i="1" s="1"/>
  <c r="I179" i="1"/>
  <c r="L178" i="1"/>
  <c r="M178" i="1" s="1"/>
  <c r="I178" i="1"/>
  <c r="L177" i="1"/>
  <c r="M177" i="1" s="1"/>
  <c r="I177" i="1"/>
  <c r="L176" i="1"/>
  <c r="M176" i="1" s="1"/>
  <c r="I176" i="1"/>
  <c r="L175" i="1"/>
  <c r="M175" i="1" s="1"/>
  <c r="I175" i="1"/>
  <c r="L174" i="1"/>
  <c r="M174" i="1" s="1"/>
  <c r="I174" i="1"/>
  <c r="L173" i="1"/>
  <c r="M173" i="1" s="1"/>
  <c r="I173" i="1"/>
  <c r="L172" i="1"/>
  <c r="M172" i="1" s="1"/>
  <c r="I172" i="1"/>
  <c r="L171" i="1"/>
  <c r="M171" i="1" s="1"/>
  <c r="I171" i="1"/>
  <c r="L170" i="1"/>
  <c r="M170" i="1" s="1"/>
  <c r="I170" i="1"/>
  <c r="S193" i="1" s="1"/>
  <c r="L169" i="1"/>
  <c r="M169" i="1" s="1"/>
  <c r="I169" i="1"/>
  <c r="L168" i="1"/>
  <c r="M168" i="1" s="1"/>
  <c r="I168" i="1"/>
  <c r="L167" i="1"/>
  <c r="M167" i="1" s="1"/>
  <c r="I167" i="1"/>
  <c r="L166" i="1"/>
  <c r="M166" i="1" s="1"/>
  <c r="I166" i="1"/>
  <c r="L165" i="1"/>
  <c r="M165" i="1" s="1"/>
  <c r="I165" i="1"/>
  <c r="L164" i="1"/>
  <c r="M164" i="1" s="1"/>
  <c r="I164" i="1"/>
  <c r="L163" i="1"/>
  <c r="M163" i="1" s="1"/>
  <c r="I163" i="1"/>
  <c r="L162" i="1"/>
  <c r="M162" i="1" s="1"/>
  <c r="I162" i="1"/>
  <c r="L161" i="1"/>
  <c r="M161" i="1" s="1"/>
  <c r="I161" i="1"/>
  <c r="L160" i="1"/>
  <c r="M160" i="1" s="1"/>
  <c r="I160" i="1"/>
  <c r="L159" i="1"/>
  <c r="M159" i="1" s="1"/>
  <c r="I159" i="1"/>
  <c r="L158" i="1"/>
  <c r="M158" i="1" s="1"/>
  <c r="I158" i="1"/>
  <c r="L157" i="1"/>
  <c r="M157" i="1" s="1"/>
  <c r="I157" i="1"/>
  <c r="L156" i="1"/>
  <c r="M156" i="1" s="1"/>
  <c r="I156" i="1"/>
  <c r="L155" i="1"/>
  <c r="M155" i="1" s="1"/>
  <c r="I155" i="1"/>
  <c r="L154" i="1"/>
  <c r="M154" i="1" s="1"/>
  <c r="I154" i="1"/>
  <c r="L153" i="1"/>
  <c r="M153" i="1" s="1"/>
  <c r="I153" i="1"/>
  <c r="L152" i="1"/>
  <c r="M152" i="1" s="1"/>
  <c r="I152" i="1"/>
  <c r="L151" i="1"/>
  <c r="M151" i="1" s="1"/>
  <c r="I151" i="1"/>
  <c r="L150" i="1"/>
  <c r="M150" i="1" s="1"/>
  <c r="I150" i="1"/>
  <c r="L149" i="1"/>
  <c r="M149" i="1" s="1"/>
  <c r="I149" i="1"/>
  <c r="L148" i="1"/>
  <c r="M148" i="1" s="1"/>
  <c r="I148" i="1"/>
  <c r="L147" i="1"/>
  <c r="M147" i="1" s="1"/>
  <c r="I147" i="1"/>
  <c r="L146" i="1"/>
  <c r="M146" i="1" s="1"/>
  <c r="I146" i="1"/>
  <c r="L145" i="1"/>
  <c r="M145" i="1" s="1"/>
  <c r="I145" i="1"/>
  <c r="R144" i="1"/>
  <c r="L144" i="1"/>
  <c r="M144" i="1" s="1"/>
  <c r="I144" i="1"/>
  <c r="R143" i="1"/>
  <c r="L143" i="1"/>
  <c r="M143" i="1" s="1"/>
  <c r="I143" i="1"/>
  <c r="R142" i="1"/>
  <c r="L142" i="1"/>
  <c r="M142" i="1" s="1"/>
  <c r="I142" i="1"/>
  <c r="L141" i="1"/>
  <c r="M141" i="1" s="1"/>
  <c r="I141" i="1"/>
  <c r="L140" i="1"/>
  <c r="M140" i="1" s="1"/>
  <c r="I140" i="1"/>
  <c r="L139" i="1"/>
  <c r="M139" i="1" s="1"/>
  <c r="I139" i="1"/>
  <c r="L138" i="1"/>
  <c r="M138" i="1" s="1"/>
  <c r="I138" i="1"/>
  <c r="L137" i="1"/>
  <c r="M137" i="1" s="1"/>
  <c r="I137" i="1"/>
  <c r="L136" i="1"/>
  <c r="M136" i="1" s="1"/>
  <c r="I136" i="1"/>
  <c r="L135" i="1"/>
  <c r="M135" i="1" s="1"/>
  <c r="I135" i="1"/>
  <c r="L134" i="1"/>
  <c r="M134" i="1" s="1"/>
  <c r="I134" i="1"/>
  <c r="L133" i="1"/>
  <c r="M133" i="1" s="1"/>
  <c r="I133" i="1"/>
  <c r="L132" i="1"/>
  <c r="M132" i="1" s="1"/>
  <c r="I132" i="1"/>
  <c r="L131" i="1"/>
  <c r="M131" i="1" s="1"/>
  <c r="I131" i="1"/>
  <c r="L130" i="1"/>
  <c r="M130" i="1" s="1"/>
  <c r="I130" i="1"/>
  <c r="L129" i="1"/>
  <c r="M129" i="1" s="1"/>
  <c r="I129" i="1"/>
  <c r="L128" i="1"/>
  <c r="M128" i="1" s="1"/>
  <c r="I128" i="1"/>
  <c r="L127" i="1"/>
  <c r="M127" i="1" s="1"/>
  <c r="I127" i="1"/>
  <c r="L126" i="1"/>
  <c r="M126" i="1" s="1"/>
  <c r="I126" i="1"/>
  <c r="L125" i="1"/>
  <c r="M125" i="1" s="1"/>
  <c r="I125" i="1"/>
  <c r="L124" i="1"/>
  <c r="M124" i="1" s="1"/>
  <c r="I124" i="1"/>
  <c r="L123" i="1"/>
  <c r="M123" i="1" s="1"/>
  <c r="I123" i="1"/>
  <c r="L122" i="1"/>
  <c r="M122" i="1" s="1"/>
  <c r="I122" i="1"/>
  <c r="L121" i="1"/>
  <c r="M121" i="1" s="1"/>
  <c r="I121" i="1"/>
  <c r="L120" i="1"/>
  <c r="M120" i="1" s="1"/>
  <c r="I120" i="1"/>
  <c r="L119" i="1"/>
  <c r="M119" i="1" s="1"/>
  <c r="I119" i="1"/>
  <c r="L118" i="1"/>
  <c r="M118" i="1" s="1"/>
  <c r="I118" i="1"/>
  <c r="L117" i="1"/>
  <c r="M117" i="1" s="1"/>
  <c r="I117" i="1"/>
  <c r="L116" i="1"/>
  <c r="M116" i="1" s="1"/>
  <c r="I116" i="1"/>
  <c r="L115" i="1"/>
  <c r="M115" i="1" s="1"/>
  <c r="I115" i="1"/>
  <c r="L114" i="1"/>
  <c r="M114" i="1" s="1"/>
  <c r="I114" i="1"/>
  <c r="L113" i="1"/>
  <c r="M113" i="1" s="1"/>
  <c r="I113" i="1"/>
  <c r="L112" i="1"/>
  <c r="M112" i="1" s="1"/>
  <c r="I112" i="1"/>
  <c r="L111" i="1"/>
  <c r="M111" i="1" s="1"/>
  <c r="I111" i="1"/>
  <c r="L110" i="1"/>
  <c r="M110" i="1" s="1"/>
  <c r="I110" i="1"/>
  <c r="L109" i="1"/>
  <c r="M109" i="1" s="1"/>
  <c r="I109" i="1"/>
  <c r="L108" i="1"/>
  <c r="M108" i="1" s="1"/>
  <c r="I108" i="1"/>
  <c r="L107" i="1"/>
  <c r="M107" i="1" s="1"/>
  <c r="I107" i="1"/>
  <c r="L106" i="1"/>
  <c r="M106" i="1" s="1"/>
  <c r="I106" i="1"/>
  <c r="L105" i="1"/>
  <c r="M105" i="1" s="1"/>
  <c r="I105" i="1"/>
  <c r="L104" i="1"/>
  <c r="M104" i="1" s="1"/>
  <c r="I104" i="1"/>
  <c r="L103" i="1"/>
  <c r="M103" i="1" s="1"/>
  <c r="I103" i="1"/>
  <c r="L102" i="1"/>
  <c r="M102" i="1" s="1"/>
  <c r="I102" i="1"/>
  <c r="L101" i="1"/>
  <c r="M101" i="1" s="1"/>
  <c r="I101" i="1"/>
  <c r="L100" i="1"/>
  <c r="M100" i="1" s="1"/>
  <c r="I100" i="1"/>
  <c r="L99" i="1"/>
  <c r="M99" i="1" s="1"/>
  <c r="I99" i="1"/>
  <c r="L98" i="1"/>
  <c r="M98" i="1" s="1"/>
  <c r="I98" i="1"/>
  <c r="L97" i="1"/>
  <c r="M97" i="1" s="1"/>
  <c r="I97" i="1"/>
  <c r="L96" i="1"/>
  <c r="M96" i="1" s="1"/>
  <c r="I96" i="1"/>
  <c r="R95" i="1"/>
  <c r="L95" i="1"/>
  <c r="M95" i="1" s="1"/>
  <c r="I95" i="1"/>
  <c r="L94" i="1"/>
  <c r="M94" i="1" s="1"/>
  <c r="I94" i="1"/>
  <c r="L93" i="1"/>
  <c r="M93" i="1" s="1"/>
  <c r="I93" i="1"/>
  <c r="L92" i="1"/>
  <c r="M92" i="1" s="1"/>
  <c r="I92" i="1"/>
  <c r="L91" i="1"/>
  <c r="M91" i="1" s="1"/>
  <c r="I91" i="1"/>
  <c r="L90" i="1"/>
  <c r="M90" i="1" s="1"/>
  <c r="I90" i="1"/>
  <c r="L89" i="1"/>
  <c r="M89" i="1" s="1"/>
  <c r="I89" i="1"/>
  <c r="L88" i="1"/>
  <c r="M88" i="1" s="1"/>
  <c r="I88" i="1"/>
  <c r="L87" i="1"/>
  <c r="M87" i="1" s="1"/>
  <c r="I87" i="1"/>
  <c r="L86" i="1"/>
  <c r="M86" i="1" s="1"/>
  <c r="I86" i="1"/>
  <c r="L85" i="1"/>
  <c r="M85" i="1" s="1"/>
  <c r="I85" i="1"/>
  <c r="L84" i="1"/>
  <c r="M84" i="1" s="1"/>
  <c r="I84" i="1"/>
  <c r="L83" i="1"/>
  <c r="M83" i="1" s="1"/>
  <c r="I83" i="1"/>
  <c r="L82" i="1"/>
  <c r="M82" i="1" s="1"/>
  <c r="I82" i="1"/>
  <c r="L81" i="1"/>
  <c r="M81" i="1" s="1"/>
  <c r="I81" i="1"/>
  <c r="L80" i="1"/>
  <c r="M80" i="1" s="1"/>
  <c r="I80" i="1"/>
  <c r="L79" i="1"/>
  <c r="M79" i="1" s="1"/>
  <c r="I79" i="1"/>
  <c r="L78" i="1"/>
  <c r="M78" i="1" s="1"/>
  <c r="I78" i="1"/>
  <c r="L77" i="1"/>
  <c r="M77" i="1" s="1"/>
  <c r="I77" i="1"/>
  <c r="L76" i="1"/>
  <c r="M76" i="1" s="1"/>
  <c r="I76" i="1"/>
  <c r="L75" i="1"/>
  <c r="M75" i="1" s="1"/>
  <c r="I75" i="1"/>
  <c r="L74" i="1"/>
  <c r="M74" i="1" s="1"/>
  <c r="I74" i="1"/>
  <c r="L73" i="1"/>
  <c r="M73" i="1" s="1"/>
  <c r="I73" i="1"/>
  <c r="L72" i="1"/>
  <c r="M72" i="1" s="1"/>
  <c r="I72" i="1"/>
  <c r="L71" i="1"/>
  <c r="M71" i="1" s="1"/>
  <c r="I71" i="1"/>
  <c r="L70" i="1"/>
  <c r="M70" i="1" s="1"/>
  <c r="I70" i="1"/>
  <c r="L69" i="1"/>
  <c r="M69" i="1" s="1"/>
  <c r="I69" i="1"/>
  <c r="L68" i="1"/>
  <c r="M68" i="1" s="1"/>
  <c r="I68" i="1"/>
  <c r="L67" i="1"/>
  <c r="M67" i="1" s="1"/>
  <c r="I67" i="1"/>
  <c r="L66" i="1"/>
  <c r="M66" i="1" s="1"/>
  <c r="I66" i="1"/>
  <c r="L65" i="1"/>
  <c r="M65" i="1" s="1"/>
  <c r="I65" i="1"/>
  <c r="L64" i="1"/>
  <c r="M64" i="1" s="1"/>
  <c r="I64" i="1"/>
  <c r="L63" i="1"/>
  <c r="M63" i="1" s="1"/>
  <c r="I63" i="1"/>
  <c r="L62" i="1"/>
  <c r="M62" i="1" s="1"/>
  <c r="I62" i="1"/>
  <c r="L61" i="1"/>
  <c r="M61" i="1" s="1"/>
  <c r="I61" i="1"/>
  <c r="L60" i="1"/>
  <c r="M60" i="1" s="1"/>
  <c r="I60" i="1"/>
  <c r="L59" i="1"/>
  <c r="M59" i="1" s="1"/>
  <c r="I59" i="1"/>
  <c r="L58" i="1"/>
  <c r="M58" i="1" s="1"/>
  <c r="I58" i="1"/>
  <c r="L57" i="1"/>
  <c r="M57" i="1" s="1"/>
  <c r="I57" i="1"/>
  <c r="L56" i="1"/>
  <c r="M56" i="1" s="1"/>
  <c r="I56" i="1"/>
  <c r="L55" i="1"/>
  <c r="M55" i="1" s="1"/>
  <c r="I55" i="1"/>
  <c r="L54" i="1"/>
  <c r="M54" i="1" s="1"/>
  <c r="I54" i="1"/>
  <c r="L53" i="1"/>
  <c r="M53" i="1" s="1"/>
  <c r="I53" i="1"/>
  <c r="L52" i="1"/>
  <c r="M52" i="1" s="1"/>
  <c r="I52" i="1"/>
  <c r="L51" i="1"/>
  <c r="M51" i="1" s="1"/>
  <c r="I51" i="1"/>
  <c r="L50" i="1"/>
  <c r="M50" i="1" s="1"/>
  <c r="I50" i="1"/>
  <c r="R49" i="1"/>
  <c r="L49" i="1"/>
  <c r="M49" i="1" s="1"/>
  <c r="I49" i="1"/>
  <c r="R48" i="1"/>
  <c r="L48" i="1"/>
  <c r="M48" i="1" s="1"/>
  <c r="I48" i="1"/>
  <c r="R47" i="1"/>
  <c r="L47" i="1"/>
  <c r="M47" i="1" s="1"/>
  <c r="I47" i="1"/>
  <c r="L46" i="1"/>
  <c r="M46" i="1" s="1"/>
  <c r="I46" i="1"/>
  <c r="L45" i="1"/>
  <c r="M45" i="1" s="1"/>
  <c r="I45" i="1"/>
  <c r="L44" i="1"/>
  <c r="M44" i="1" s="1"/>
  <c r="I44" i="1"/>
  <c r="L43" i="1"/>
  <c r="M43" i="1" s="1"/>
  <c r="I43" i="1"/>
  <c r="L42" i="1"/>
  <c r="M42" i="1" s="1"/>
  <c r="I42" i="1"/>
  <c r="L41" i="1"/>
  <c r="M41" i="1" s="1"/>
  <c r="I41" i="1"/>
  <c r="L40" i="1"/>
  <c r="M40" i="1" s="1"/>
  <c r="I40" i="1"/>
  <c r="L39" i="1"/>
  <c r="M39" i="1" s="1"/>
  <c r="I39" i="1"/>
  <c r="L38" i="1"/>
  <c r="M38" i="1" s="1"/>
  <c r="I38" i="1"/>
  <c r="L37" i="1"/>
  <c r="M37" i="1" s="1"/>
  <c r="I37" i="1"/>
  <c r="L36" i="1"/>
  <c r="M36" i="1" s="1"/>
  <c r="I36" i="1"/>
  <c r="L35" i="1"/>
  <c r="M35" i="1" s="1"/>
  <c r="I35" i="1"/>
  <c r="L34" i="1"/>
  <c r="M34" i="1" s="1"/>
  <c r="I34" i="1"/>
  <c r="L33" i="1"/>
  <c r="M33" i="1" s="1"/>
  <c r="I33" i="1"/>
  <c r="L32" i="1"/>
  <c r="M32" i="1" s="1"/>
  <c r="I32" i="1"/>
  <c r="L31" i="1"/>
  <c r="M31" i="1" s="1"/>
  <c r="I31" i="1"/>
  <c r="L30" i="1"/>
  <c r="M30" i="1" s="1"/>
  <c r="I30" i="1"/>
  <c r="L29" i="1"/>
  <c r="M29" i="1" s="1"/>
  <c r="I29" i="1"/>
  <c r="L28" i="1"/>
  <c r="M28" i="1" s="1"/>
  <c r="I28" i="1"/>
  <c r="L27" i="1"/>
  <c r="M27" i="1" s="1"/>
  <c r="I27" i="1"/>
  <c r="L26" i="1"/>
  <c r="M26" i="1" s="1"/>
  <c r="I26" i="1"/>
  <c r="L25" i="1"/>
  <c r="M25" i="1" s="1"/>
  <c r="I25" i="1"/>
  <c r="L24" i="1"/>
  <c r="M24" i="1" s="1"/>
  <c r="I24" i="1"/>
  <c r="L23" i="1"/>
  <c r="M23" i="1" s="1"/>
  <c r="I23" i="1"/>
  <c r="L22" i="1"/>
  <c r="M22" i="1" s="1"/>
  <c r="I22" i="1"/>
  <c r="L21" i="1"/>
  <c r="M21" i="1" s="1"/>
  <c r="I21" i="1"/>
  <c r="L20" i="1"/>
  <c r="M20" i="1" s="1"/>
  <c r="I20" i="1"/>
  <c r="L19" i="1"/>
  <c r="M19" i="1" s="1"/>
  <c r="I19" i="1"/>
  <c r="L18" i="1"/>
  <c r="M18" i="1" s="1"/>
  <c r="I18" i="1"/>
  <c r="L17" i="1"/>
  <c r="M17" i="1" s="1"/>
  <c r="I17" i="1"/>
  <c r="L16" i="1"/>
  <c r="M16" i="1" s="1"/>
  <c r="I16" i="1"/>
  <c r="L15" i="1"/>
  <c r="M15" i="1" s="1"/>
  <c r="I15" i="1"/>
  <c r="L14" i="1"/>
  <c r="M14" i="1" s="1"/>
  <c r="I14" i="1"/>
  <c r="L13" i="1"/>
  <c r="M13" i="1" s="1"/>
  <c r="I13" i="1"/>
  <c r="L12" i="1"/>
  <c r="M12" i="1" s="1"/>
  <c r="I12" i="1"/>
  <c r="L11" i="1"/>
  <c r="M11" i="1" s="1"/>
  <c r="I11" i="1"/>
  <c r="L10" i="1"/>
  <c r="M10" i="1" s="1"/>
  <c r="I10" i="1"/>
  <c r="L9" i="1"/>
  <c r="M9" i="1" s="1"/>
  <c r="I9" i="1"/>
  <c r="L8" i="1"/>
  <c r="M8" i="1" s="1"/>
  <c r="I8" i="1"/>
  <c r="L7" i="1"/>
  <c r="M7" i="1" s="1"/>
  <c r="I7" i="1"/>
  <c r="L6" i="1"/>
  <c r="M6" i="1" s="1"/>
  <c r="I6" i="1"/>
  <c r="L5" i="1"/>
  <c r="M5" i="1" s="1"/>
  <c r="I5" i="1"/>
  <c r="L4" i="1"/>
  <c r="M4" i="1" s="1"/>
  <c r="I4" i="1"/>
  <c r="L3" i="1"/>
  <c r="M3" i="1" s="1"/>
  <c r="I3" i="1"/>
  <c r="I4" i="2"/>
  <c r="M3" i="2"/>
  <c r="Q289" i="1" l="1"/>
  <c r="Q290" i="1"/>
  <c r="Q288" i="1"/>
  <c r="S384" i="1" s="1"/>
  <c r="Q232" i="1"/>
  <c r="S385" i="1" s="1"/>
  <c r="O383" i="1"/>
  <c r="Q193" i="1"/>
  <c r="Q194" i="1"/>
  <c r="S191" i="1"/>
  <c r="Q192" i="1"/>
  <c r="R97" i="1"/>
  <c r="R94" i="1"/>
  <c r="S192" i="1"/>
  <c r="R96" i="1"/>
  <c r="O194" i="1"/>
  <c r="S194" i="1"/>
  <c r="R141" i="1"/>
  <c r="R145" i="1"/>
  <c r="R46" i="1"/>
  <c r="R50" i="1" s="1"/>
  <c r="S190" i="1"/>
  <c r="S386" i="1" l="1"/>
  <c r="R98"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heet1!$A$2:$M$386" type="102" refreshedVersion="6" minRefreshableVersion="5">
    <extLst>
      <ext xmlns:x15="http://schemas.microsoft.com/office/spreadsheetml/2010/11/main" uri="{DE250136-89BD-433C-8126-D09CA5730AF9}">
        <x15:connection id="Range" autoDelete="1">
          <x15:rangePr sourceName="_xlcn.WorksheetConnection_Sheet1A2M3861"/>
        </x15:connection>
      </ext>
    </extLst>
  </connection>
</connections>
</file>

<file path=xl/sharedStrings.xml><?xml version="1.0" encoding="utf-8"?>
<sst xmlns="http://schemas.openxmlformats.org/spreadsheetml/2006/main" count="2068" uniqueCount="64">
  <si>
    <t>DATE</t>
  </si>
  <si>
    <t>Product</t>
  </si>
  <si>
    <t>Rice</t>
  </si>
  <si>
    <t>Sugar</t>
  </si>
  <si>
    <t>Flour</t>
  </si>
  <si>
    <t>Pasta</t>
  </si>
  <si>
    <t>Region</t>
  </si>
  <si>
    <t>South-West</t>
  </si>
  <si>
    <t>South-South</t>
  </si>
  <si>
    <t>North-West</t>
  </si>
  <si>
    <t>North-Central</t>
  </si>
  <si>
    <t>BUA FOODS 2024/2025 SALES REPORT</t>
  </si>
  <si>
    <t>Quantity</t>
  </si>
  <si>
    <t>Unit Price</t>
  </si>
  <si>
    <t>Category</t>
  </si>
  <si>
    <t>Pantry Staples</t>
  </si>
  <si>
    <t>Baking</t>
  </si>
  <si>
    <t>Total Sales</t>
  </si>
  <si>
    <t>Production Cost</t>
  </si>
  <si>
    <t>Quarter</t>
  </si>
  <si>
    <t>Q1</t>
  </si>
  <si>
    <t>Q2</t>
  </si>
  <si>
    <t>Q3</t>
  </si>
  <si>
    <t>Q4</t>
  </si>
  <si>
    <t>Total Q1</t>
  </si>
  <si>
    <t>Total Q3</t>
  </si>
  <si>
    <t>Total Sugar</t>
  </si>
  <si>
    <t>TotalFlour</t>
  </si>
  <si>
    <t>Total pasta</t>
  </si>
  <si>
    <t>Total Rice</t>
  </si>
  <si>
    <t>Total Q2</t>
  </si>
  <si>
    <t>Total Q4</t>
  </si>
  <si>
    <t>Total 2024 Revenue</t>
  </si>
  <si>
    <t>pasta</t>
  </si>
  <si>
    <t>Total Product Revenue (2024)</t>
  </si>
  <si>
    <t xml:space="preserve"> </t>
  </si>
  <si>
    <t xml:space="preserve"> Rice</t>
  </si>
  <si>
    <t>Profit per Product</t>
  </si>
  <si>
    <t>Total Product Profit</t>
  </si>
  <si>
    <t>Jan</t>
  </si>
  <si>
    <t>Feb</t>
  </si>
  <si>
    <t>Mar</t>
  </si>
  <si>
    <t>Apr</t>
  </si>
  <si>
    <t>May</t>
  </si>
  <si>
    <t>Jun</t>
  </si>
  <si>
    <t>Jul</t>
  </si>
  <si>
    <t>Aug</t>
  </si>
  <si>
    <t>Sep</t>
  </si>
  <si>
    <t>Oct</t>
  </si>
  <si>
    <t>Nov</t>
  </si>
  <si>
    <t>Dec</t>
  </si>
  <si>
    <t>Month</t>
  </si>
  <si>
    <t>Year</t>
  </si>
  <si>
    <t>Total 2025 Revenue</t>
  </si>
  <si>
    <t>Total Product Revenue (2025)</t>
  </si>
  <si>
    <t xml:space="preserve">Total Rice </t>
  </si>
  <si>
    <t xml:space="preserve">Total Flour </t>
  </si>
  <si>
    <t xml:space="preserve">Total Sugar </t>
  </si>
  <si>
    <t xml:space="preserve">Total Pasta </t>
  </si>
  <si>
    <t>Total 2025 Profit</t>
  </si>
  <si>
    <t>Grand Total</t>
  </si>
  <si>
    <t>Product Profit</t>
  </si>
  <si>
    <t>Sum of Quantity</t>
  </si>
  <si>
    <t>Tax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</si>
</sst>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yyyy\-mm\-dd;@"/>
    <numFmt numFmtId="165" formatCode="[$₦-466]\ #,##0"/>
    <numFmt numFmtId="166" formatCode="[$₦-46A]#,##0"/>
    <numFmt numFmtId="167" formatCode="[$₦-466]\ #,##0.00"/>
  </numFmts>
  <fonts count="4" x14ac:knownFonts="1">
    <font>
      <sz val="11"/>
      <color theme="1"/>
      <name val="Trebuchet MS"/>
      <family val="2"/>
      <scheme val="minor"/>
    </font>
    <font>
      <b/>
      <sz val="22"/>
      <color theme="1"/>
      <name val="Trebuchet MS"/>
      <family val="2"/>
      <scheme val="minor"/>
    </font>
    <font>
      <b/>
      <sz val="11"/>
      <color theme="1"/>
      <name val="Trebuchet MS"/>
      <family val="2"/>
      <scheme val="minor"/>
    </font>
    <font>
      <b/>
      <sz val="11"/>
      <color theme="1"/>
      <name val="Trebuchet MS"/>
      <family val="1"/>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164" fontId="0" fillId="0" borderId="0" xfId="0" applyNumberFormat="1"/>
    <xf numFmtId="3" fontId="0" fillId="0" borderId="0" xfId="0" applyNumberFormat="1"/>
    <xf numFmtId="165" fontId="0" fillId="0" borderId="0" xfId="0" applyNumberFormat="1"/>
    <xf numFmtId="165" fontId="0" fillId="0" borderId="0" xfId="0" applyNumberFormat="1" applyAlignment="1">
      <alignment horizontal="center"/>
    </xf>
    <xf numFmtId="0" fontId="0" fillId="0" borderId="0" xfId="0" applyAlignment="1">
      <alignment horizontal="center"/>
    </xf>
    <xf numFmtId="166" fontId="0" fillId="0" borderId="0" xfId="0" applyNumberFormat="1" applyAlignment="1">
      <alignment horizontal="center"/>
    </xf>
    <xf numFmtId="165" fontId="2" fillId="0" borderId="0" xfId="0" applyNumberFormat="1" applyFont="1" applyAlignment="1">
      <alignment horizontal="center"/>
    </xf>
    <xf numFmtId="167" fontId="0" fillId="0" borderId="0" xfId="0" applyNumberFormat="1"/>
    <xf numFmtId="0" fontId="2" fillId="2" borderId="0" xfId="0" applyFont="1" applyFill="1"/>
    <xf numFmtId="0" fontId="0" fillId="2" borderId="0" xfId="0" applyFill="1"/>
    <xf numFmtId="0" fontId="0" fillId="2" borderId="0" xfId="0" applyFill="1" applyAlignment="1">
      <alignment horizontal="center"/>
    </xf>
    <xf numFmtId="0" fontId="2" fillId="0" borderId="0" xfId="0" applyFont="1" applyAlignment="1">
      <alignment horizontal="center"/>
    </xf>
    <xf numFmtId="0" fontId="0" fillId="0" borderId="0" xfId="0" applyAlignment="1">
      <alignment horizontal="center" vertical="top"/>
    </xf>
    <xf numFmtId="0" fontId="0" fillId="2" borderId="0" xfId="0" applyFill="1" applyAlignment="1">
      <alignment horizontal="center" vertical="top"/>
    </xf>
    <xf numFmtId="0" fontId="2" fillId="0" borderId="0" xfId="0" applyFont="1" applyAlignment="1">
      <alignment horizontal="center" vertical="top"/>
    </xf>
    <xf numFmtId="166" fontId="0" fillId="0" borderId="0" xfId="0" applyNumberFormat="1" applyAlignment="1">
      <alignment horizontal="center" vertical="top"/>
    </xf>
    <xf numFmtId="0" fontId="1" fillId="0" borderId="0" xfId="0" applyFont="1" applyAlignment="1">
      <alignment horizontal="center"/>
    </xf>
    <xf numFmtId="0" fontId="2" fillId="2" borderId="0" xfId="0" applyFont="1" applyFill="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1" fontId="1" fillId="0" borderId="0" xfId="0" applyNumberFormat="1" applyFont="1" applyAlignment="1">
      <alignment horizontal="center"/>
    </xf>
    <xf numFmtId="1" fontId="2" fillId="2" borderId="0" xfId="0" applyNumberFormat="1" applyFont="1" applyFill="1" applyAlignment="1">
      <alignment horizontal="center"/>
    </xf>
    <xf numFmtId="1" fontId="0" fillId="0" borderId="0" xfId="0" applyNumberFormat="1" applyAlignment="1">
      <alignment horizontal="center"/>
    </xf>
    <xf numFmtId="167" fontId="0" fillId="0" borderId="0" xfId="0" applyNumberFormat="1" applyAlignment="1">
      <alignment horizontal="center"/>
    </xf>
    <xf numFmtId="165" fontId="0" fillId="0" borderId="0" xfId="0" applyNumberFormat="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0" borderId="0" xfId="0" applyAlignment="1">
      <alignment horizontal="left" indent="1"/>
    </xf>
    <xf numFmtId="166" fontId="0" fillId="0" borderId="0" xfId="0" pivotButton="1" applyNumberFormat="1"/>
    <xf numFmtId="166" fontId="0" fillId="0" borderId="0" xfId="0" applyNumberFormat="1" applyAlignment="1">
      <alignment horizontal="left"/>
    </xf>
    <xf numFmtId="165" fontId="3" fillId="0" borderId="0" xfId="0" applyNumberFormat="1" applyFont="1"/>
    <xf numFmtId="165" fontId="2" fillId="0" borderId="0" xfId="0" applyNumberFormat="1" applyFont="1"/>
  </cellXfs>
  <cellStyles count="1">
    <cellStyle name="Normal" xfId="0" builtinId="0"/>
  </cellStyles>
  <dxfs count="33">
    <dxf>
      <numFmt numFmtId="166" formatCode="[$₦-46A]#,##0"/>
    </dxf>
    <dxf>
      <numFmt numFmtId="3" formatCode="#,##0"/>
    </dxf>
    <dxf>
      <numFmt numFmtId="0" formatCode="General"/>
    </dxf>
    <dxf>
      <numFmt numFmtId="0" formatCode="General"/>
    </dxf>
    <dxf>
      <numFmt numFmtId="166" formatCode="[$₦-46A]#,##0"/>
    </dxf>
    <dxf>
      <numFmt numFmtId="166" formatCode="[$₦-46A]#,##0"/>
    </dxf>
    <dxf>
      <numFmt numFmtId="166" formatCode="[$₦-46A]#,##0"/>
    </dxf>
    <dxf>
      <numFmt numFmtId="165" formatCode="[$₦-466]\ #,##0"/>
    </dxf>
    <dxf>
      <numFmt numFmtId="3" formatCode="#,##0"/>
    </dxf>
    <dxf>
      <numFmt numFmtId="165" formatCode="[$₦-466]\ #,##0"/>
    </dxf>
    <dxf>
      <numFmt numFmtId="0" formatCode="General"/>
    </dxf>
    <dxf>
      <numFmt numFmtId="166" formatCode="[$₦-46A]#,##0"/>
    </dxf>
    <dxf>
      <numFmt numFmtId="166" formatCode="[$₦-46A]#,##0"/>
    </dxf>
    <dxf>
      <numFmt numFmtId="165" formatCode="[$₦-466]\ #,##0"/>
    </dxf>
    <dxf>
      <numFmt numFmtId="0" formatCode="General"/>
    </dxf>
    <dxf>
      <numFmt numFmtId="166" formatCode="[$₦-46A]#,##0"/>
    </dxf>
    <dxf>
      <numFmt numFmtId="166" formatCode="[$₦-46A]#,##0"/>
    </dxf>
    <dxf>
      <numFmt numFmtId="166" formatCode="[$₦-46A]#,##0"/>
    </dxf>
    <dxf>
      <numFmt numFmtId="166" formatCode="[$₦-46A]#,##0"/>
    </dxf>
    <dxf>
      <numFmt numFmtId="166" formatCode="[$₦-46A]#,##0"/>
    </dxf>
    <dxf>
      <numFmt numFmtId="165" formatCode="[$₦-466]\ #,##0"/>
    </dxf>
    <dxf>
      <numFmt numFmtId="3" formatCode="#,##0"/>
    </dxf>
    <dxf>
      <numFmt numFmtId="166" formatCode="[$₦-46A]#,##0"/>
    </dxf>
    <dxf>
      <numFmt numFmtId="165" formatCode="[$₦-466]\ #,##0"/>
    </dxf>
    <dxf>
      <numFmt numFmtId="166" formatCode="[$₦-46A]#,##0"/>
    </dxf>
    <dxf>
      <numFmt numFmtId="165" formatCode="[$₦-466]\ #,##0"/>
    </dxf>
    <dxf>
      <numFmt numFmtId="0" formatCode="General"/>
    </dxf>
    <dxf>
      <numFmt numFmtId="166" formatCode="[$₦-46A]#,##0"/>
    </dxf>
    <dxf>
      <numFmt numFmtId="166" formatCode="[$₦-46A]#,##0"/>
    </dxf>
    <dxf>
      <numFmt numFmtId="166" formatCode="[$₦-46A]#,##0"/>
    </dxf>
    <dxf>
      <numFmt numFmtId="166" formatCode="[$₦-46A]#,##0"/>
    </dxf>
    <dxf>
      <numFmt numFmtId="166" formatCode="[$₦-46A]#,##0"/>
    </dxf>
    <dxf>
      <numFmt numFmtId="166" formatCode="[$₦-46A]#,##0"/>
    </dxf>
  </dxfs>
  <tableStyles count="0" defaultTableStyle="TableStyleMedium2" defaultPivotStyle="PivotStyleLight16"/>
  <colors>
    <mruColors>
      <color rgb="FF0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 SALES REPORT.xlsx]Pivot Table!PivotTable3</c:name>
    <c:fmtId val="2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Region Sales</a:t>
            </a:r>
          </a:p>
        </c:rich>
      </c:tx>
      <c:layout>
        <c:manualLayout>
          <c:xMode val="edge"/>
          <c:yMode val="edge"/>
          <c:x val="0.3778288888687551"/>
          <c:y val="3.061828441975337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rgbClr val="002060"/>
          </a:solidFill>
          <a:ln>
            <a:noFill/>
          </a:ln>
          <a:effectLst/>
        </c:spPr>
        <c:marker>
          <c:symbol val="none"/>
        </c:marker>
        <c:dLbl>
          <c:idx val="0"/>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2">
              <a:lumMod val="75000"/>
            </a:schemeClr>
          </a:solidFill>
          <a:ln>
            <a:noFill/>
          </a:ln>
          <a:effectLst/>
        </c:spPr>
      </c:pivotFmt>
    </c:pivotFmts>
    <c:plotArea>
      <c:layout/>
      <c:barChart>
        <c:barDir val="col"/>
        <c:grouping val="clustered"/>
        <c:varyColors val="0"/>
        <c:ser>
          <c:idx val="0"/>
          <c:order val="0"/>
          <c:tx>
            <c:strRef>
              <c:f>'Pivot Table'!$F$9:$F$10</c:f>
              <c:strCache>
                <c:ptCount val="1"/>
                <c:pt idx="0">
                  <c:v>2025</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Table'!$E$11:$E$15</c:f>
              <c:strCache>
                <c:ptCount val="4"/>
                <c:pt idx="0">
                  <c:v>North-Central</c:v>
                </c:pt>
                <c:pt idx="1">
                  <c:v>North-West</c:v>
                </c:pt>
                <c:pt idx="2">
                  <c:v>South-South</c:v>
                </c:pt>
                <c:pt idx="3">
                  <c:v>South-West</c:v>
                </c:pt>
              </c:strCache>
            </c:strRef>
          </c:cat>
          <c:val>
            <c:numRef>
              <c:f>'Pivot Table'!$F$11:$F$15</c:f>
              <c:numCache>
                <c:formatCode>[$₦-466]\ #,##0</c:formatCode>
                <c:ptCount val="4"/>
                <c:pt idx="0">
                  <c:v>459810067500</c:v>
                </c:pt>
                <c:pt idx="1">
                  <c:v>449463750000</c:v>
                </c:pt>
                <c:pt idx="2">
                  <c:v>441423215000</c:v>
                </c:pt>
                <c:pt idx="3">
                  <c:v>449309252500</c:v>
                </c:pt>
              </c:numCache>
            </c:numRef>
          </c:val>
          <c:extLst>
            <c:ext xmlns:c16="http://schemas.microsoft.com/office/drawing/2014/chart" uri="{C3380CC4-5D6E-409C-BE32-E72D297353CC}">
              <c16:uniqueId val="{00000000-05CC-41D7-B45F-2FE875BF85C9}"/>
            </c:ext>
          </c:extLst>
        </c:ser>
        <c:dLbls>
          <c:showLegendKey val="0"/>
          <c:showVal val="1"/>
          <c:showCatName val="0"/>
          <c:showSerName val="0"/>
          <c:showPercent val="0"/>
          <c:showBubbleSize val="0"/>
        </c:dLbls>
        <c:gapWidth val="150"/>
        <c:axId val="396744080"/>
        <c:axId val="396746160"/>
      </c:barChart>
      <c:catAx>
        <c:axId val="3967440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96746160"/>
        <c:crosses val="autoZero"/>
        <c:auto val="1"/>
        <c:lblAlgn val="ctr"/>
        <c:lblOffset val="100"/>
        <c:noMultiLvlLbl val="0"/>
      </c:catAx>
      <c:valAx>
        <c:axId val="396746160"/>
        <c:scaling>
          <c:orientation val="minMax"/>
        </c:scaling>
        <c:delete val="1"/>
        <c:axPos val="l"/>
        <c:numFmt formatCode="[$₦-466]\ #,##0" sourceLinked="1"/>
        <c:majorTickMark val="out"/>
        <c:minorTickMark val="none"/>
        <c:tickLblPos val="nextTo"/>
        <c:crossAx val="3967440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 SALES REPORT.xlsx]Pivot Table!PivotTable1</c:name>
    <c:fmtId val="1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Sales by Product</a:t>
            </a:r>
          </a:p>
        </c:rich>
      </c:tx>
      <c:layout>
        <c:manualLayout>
          <c:xMode val="edge"/>
          <c:yMode val="edge"/>
          <c:x val="0.34081264720826371"/>
          <c:y val="8.03137294581431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pivotFmt>
      <c:pivotFmt>
        <c:idx val="5"/>
        <c:spPr>
          <a:solidFill>
            <a:schemeClr val="accent4">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034644712788681"/>
          <c:y val="0.21386656687474281"/>
          <c:w val="0.87965355287211322"/>
          <c:h val="0.71502235519516821"/>
        </c:manualLayout>
      </c:layout>
      <c:barChart>
        <c:barDir val="col"/>
        <c:grouping val="clustered"/>
        <c:varyColors val="0"/>
        <c:ser>
          <c:idx val="0"/>
          <c:order val="0"/>
          <c:tx>
            <c:strRef>
              <c:f>'Pivot Table'!$C$9:$C$10</c:f>
              <c:strCache>
                <c:ptCount val="1"/>
                <c:pt idx="0">
                  <c:v>2025</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Table'!$B$11:$B$15</c:f>
              <c:strCache>
                <c:ptCount val="4"/>
                <c:pt idx="0">
                  <c:v>Flour</c:v>
                </c:pt>
                <c:pt idx="1">
                  <c:v>Pasta</c:v>
                </c:pt>
                <c:pt idx="2">
                  <c:v>Rice</c:v>
                </c:pt>
                <c:pt idx="3">
                  <c:v>Sugar</c:v>
                </c:pt>
              </c:strCache>
            </c:strRef>
          </c:cat>
          <c:val>
            <c:numRef>
              <c:f>'Pivot Table'!$C$11:$C$15</c:f>
              <c:numCache>
                <c:formatCode>[$₦-466]\ #,##0</c:formatCode>
                <c:ptCount val="4"/>
                <c:pt idx="0">
                  <c:v>743385040000</c:v>
                </c:pt>
                <c:pt idx="1">
                  <c:v>201996750000</c:v>
                </c:pt>
                <c:pt idx="2">
                  <c:v>97923260000</c:v>
                </c:pt>
                <c:pt idx="3">
                  <c:v>756701235000</c:v>
                </c:pt>
              </c:numCache>
            </c:numRef>
          </c:val>
          <c:extLst>
            <c:ext xmlns:c16="http://schemas.microsoft.com/office/drawing/2014/chart" uri="{C3380CC4-5D6E-409C-BE32-E72D297353CC}">
              <c16:uniqueId val="{00000000-5389-45A1-ACDB-16900464ED33}"/>
            </c:ext>
          </c:extLst>
        </c:ser>
        <c:dLbls>
          <c:dLblPos val="outEnd"/>
          <c:showLegendKey val="0"/>
          <c:showVal val="1"/>
          <c:showCatName val="0"/>
          <c:showSerName val="0"/>
          <c:showPercent val="0"/>
          <c:showBubbleSize val="0"/>
        </c:dLbls>
        <c:gapWidth val="182"/>
        <c:axId val="403611888"/>
        <c:axId val="403614384"/>
      </c:barChart>
      <c:catAx>
        <c:axId val="40361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3614384"/>
        <c:crosses val="autoZero"/>
        <c:auto val="1"/>
        <c:lblAlgn val="ctr"/>
        <c:lblOffset val="100"/>
        <c:noMultiLvlLbl val="0"/>
      </c:catAx>
      <c:valAx>
        <c:axId val="403614384"/>
        <c:scaling>
          <c:orientation val="minMax"/>
        </c:scaling>
        <c:delete val="1"/>
        <c:axPos val="l"/>
        <c:numFmt formatCode="[$₦-466]\ #,##0" sourceLinked="1"/>
        <c:majorTickMark val="none"/>
        <c:minorTickMark val="none"/>
        <c:tickLblPos val="nextTo"/>
        <c:crossAx val="4036118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[BUA SALES REPORT.xlsx]Pivot Table!PivotTable2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Quarterly</a:t>
            </a:r>
            <a:r>
              <a:rPr lang="en-US" b="1" baseline="0"/>
              <a:t> Sales</a:t>
            </a:r>
            <a:endParaRPr lang="en-US" b="1"/>
          </a:p>
        </c:rich>
      </c:tx>
      <c:layout>
        <c:manualLayout>
          <c:xMode val="edge"/>
          <c:yMode val="edge"/>
          <c:x val="0.38757097106843247"/>
          <c:y val="4.04571409154428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4597284737854396E-2"/>
          <c:y val="0.10805171434922407"/>
          <c:w val="0.97080543052429125"/>
          <c:h val="0.8101427432702395"/>
        </c:manualLayout>
      </c:layout>
      <c:lineChart>
        <c:grouping val="standard"/>
        <c:varyColors val="0"/>
        <c:ser>
          <c:idx val="0"/>
          <c:order val="0"/>
          <c:tx>
            <c:strRef>
              <c:f>'Pivot Table'!$I$9:$I$10</c:f>
              <c:strCache>
                <c:ptCount val="1"/>
                <c:pt idx="0">
                  <c:v>2025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Table'!$H$11:$H$15</c:f>
              <c:strCache>
                <c:ptCount val="4"/>
                <c:pt idx="0">
                  <c:v>Q1</c:v>
                </c:pt>
                <c:pt idx="1">
                  <c:v>Q2</c:v>
                </c:pt>
                <c:pt idx="2">
                  <c:v>Q3</c:v>
                </c:pt>
                <c:pt idx="3">
                  <c:v>Q4</c:v>
                </c:pt>
              </c:strCache>
            </c:strRef>
          </c:cat>
          <c:val>
            <c:numRef>
              <c:f>'Pivot Table'!$I$11:$I$15</c:f>
              <c:numCache>
                <c:formatCode>[$₦-466]\ #,##0</c:formatCode>
                <c:ptCount val="4"/>
                <c:pt idx="0">
                  <c:v>442001177500</c:v>
                </c:pt>
                <c:pt idx="1">
                  <c:v>466208660000</c:v>
                </c:pt>
                <c:pt idx="2">
                  <c:v>631894052500</c:v>
                </c:pt>
                <c:pt idx="3">
                  <c:v>259902395000</c:v>
                </c:pt>
              </c:numCache>
            </c:numRef>
          </c:val>
          <c:smooth val="0"/>
          <c:extLst>
            <c:ext xmlns:c16="http://schemas.microsoft.com/office/drawing/2014/chart" uri="{C3380CC4-5D6E-409C-BE32-E72D297353CC}">
              <c16:uniqueId val="{00000000-3612-433F-B25E-D5A7992049F6}"/>
            </c:ext>
          </c:extLst>
        </c:ser>
        <c:dLbls>
          <c:dLblPos val="t"/>
          <c:showLegendKey val="0"/>
          <c:showVal val="1"/>
          <c:showCatName val="0"/>
          <c:showSerName val="0"/>
          <c:showPercent val="0"/>
          <c:showBubbleSize val="0"/>
        </c:dLbls>
        <c:marker val="1"/>
        <c:smooth val="0"/>
        <c:axId val="396743248"/>
        <c:axId val="339023792"/>
      </c:lineChart>
      <c:catAx>
        <c:axId val="39674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39023792"/>
        <c:crosses val="autoZero"/>
        <c:auto val="1"/>
        <c:lblAlgn val="ctr"/>
        <c:lblOffset val="100"/>
        <c:noMultiLvlLbl val="0"/>
      </c:catAx>
      <c:valAx>
        <c:axId val="339023792"/>
        <c:scaling>
          <c:orientation val="minMax"/>
        </c:scaling>
        <c:delete val="1"/>
        <c:axPos val="l"/>
        <c:numFmt formatCode="[$₦-466]\ #,##0" sourceLinked="1"/>
        <c:majorTickMark val="none"/>
        <c:minorTickMark val="none"/>
        <c:tickLblPos val="nextTo"/>
        <c:crossAx val="3967432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[BUA SALES REPORT.xlsx]Pivot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a:t>
            </a:r>
            <a:r>
              <a:rPr lang="en-US" b="1" baseline="0"/>
              <a:t> Category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solidFill>
            <a:schemeClr val="accent4">
              <a:tint val="77000"/>
            </a:schemeClr>
          </a:solidFill>
          <a:ln w="19050">
            <a:solidFill>
              <a:schemeClr val="lt1"/>
            </a:solidFill>
          </a:ln>
          <a:effectLst/>
        </c:spPr>
      </c:pivotFmt>
      <c:pivotFmt>
        <c:idx val="9"/>
        <c:spPr>
          <a:solidFill>
            <a:schemeClr val="accent4">
              <a:shade val="76000"/>
            </a:schemeClr>
          </a:solidFill>
          <a:ln w="19050">
            <a:solidFill>
              <a:schemeClr val="lt1"/>
            </a:solidFill>
          </a:ln>
          <a:effectLst/>
        </c:spPr>
      </c:pivotFmt>
    </c:pivotFmts>
    <c:plotArea>
      <c:layout/>
      <c:pieChart>
        <c:varyColors val="1"/>
        <c:ser>
          <c:idx val="0"/>
          <c:order val="0"/>
          <c:tx>
            <c:strRef>
              <c:f>'Pivot Table'!$F$17:$F$18</c:f>
              <c:strCache>
                <c:ptCount val="1"/>
                <c:pt idx="0">
                  <c:v>2025</c:v>
                </c:pt>
              </c:strCache>
            </c:strRef>
          </c:tx>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9042-43B3-9905-C314DFA5A498}"/>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9042-43B3-9905-C314DFA5A49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Table'!$E$19:$E$21</c:f>
              <c:strCache>
                <c:ptCount val="2"/>
                <c:pt idx="0">
                  <c:v>Baking</c:v>
                </c:pt>
                <c:pt idx="1">
                  <c:v>Pantry Staples</c:v>
                </c:pt>
              </c:strCache>
            </c:strRef>
          </c:cat>
          <c:val>
            <c:numRef>
              <c:f>'Pivot Table'!$F$19:$F$21</c:f>
              <c:numCache>
                <c:formatCode>[$₦-466]\ #,##0</c:formatCode>
                <c:ptCount val="2"/>
                <c:pt idx="0">
                  <c:v>743385040000</c:v>
                </c:pt>
                <c:pt idx="1">
                  <c:v>1056621245000</c:v>
                </c:pt>
              </c:numCache>
            </c:numRef>
          </c:val>
          <c:extLst>
            <c:ext xmlns:c16="http://schemas.microsoft.com/office/drawing/2014/chart" uri="{C3380CC4-5D6E-409C-BE32-E72D297353CC}">
              <c16:uniqueId val="{00000004-9042-43B3-9905-C314DFA5A49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 SALES REPORT.xlsx]Pivot Table!PivotTable4</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Profit by Product</a:t>
            </a:r>
          </a:p>
        </c:rich>
      </c:tx>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rgbClr val="0070C0"/>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rgbClr val="00206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Table'!$L$9:$L$10</c:f>
              <c:strCache>
                <c:ptCount val="1"/>
                <c:pt idx="0">
                  <c:v>2025</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Table'!$K$11:$K$15</c:f>
              <c:strCache>
                <c:ptCount val="4"/>
                <c:pt idx="0">
                  <c:v>Flour</c:v>
                </c:pt>
                <c:pt idx="1">
                  <c:v>Pasta</c:v>
                </c:pt>
                <c:pt idx="2">
                  <c:v>Rice</c:v>
                </c:pt>
                <c:pt idx="3">
                  <c:v>Sugar</c:v>
                </c:pt>
              </c:strCache>
            </c:strRef>
          </c:cat>
          <c:val>
            <c:numRef>
              <c:f>'Pivot Table'!$L$11:$L$15</c:f>
              <c:numCache>
                <c:formatCode>[$₦-466]\ #,##0</c:formatCode>
                <c:ptCount val="4"/>
                <c:pt idx="0">
                  <c:v>319924665150.62946</c:v>
                </c:pt>
                <c:pt idx="1">
                  <c:v>70698862500</c:v>
                </c:pt>
                <c:pt idx="2">
                  <c:v>31825059500</c:v>
                </c:pt>
                <c:pt idx="3">
                  <c:v>249711407550</c:v>
                </c:pt>
              </c:numCache>
            </c:numRef>
          </c:val>
          <c:extLst>
            <c:ext xmlns:c16="http://schemas.microsoft.com/office/drawing/2014/chart" uri="{C3380CC4-5D6E-409C-BE32-E72D297353CC}">
              <c16:uniqueId val="{00000000-E3A4-41AD-85E4-4AD2C08ED6F6}"/>
            </c:ext>
          </c:extLst>
        </c:ser>
        <c:dLbls>
          <c:dLblPos val="outEnd"/>
          <c:showLegendKey val="0"/>
          <c:showVal val="1"/>
          <c:showCatName val="0"/>
          <c:showSerName val="0"/>
          <c:showPercent val="0"/>
          <c:showBubbleSize val="0"/>
        </c:dLbls>
        <c:gapWidth val="150"/>
        <c:axId val="1007103312"/>
        <c:axId val="1007080016"/>
      </c:barChart>
      <c:catAx>
        <c:axId val="1007103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07080016"/>
        <c:crosses val="autoZero"/>
        <c:auto val="1"/>
        <c:lblAlgn val="ctr"/>
        <c:lblOffset val="100"/>
        <c:noMultiLvlLbl val="0"/>
      </c:catAx>
      <c:valAx>
        <c:axId val="1007080016"/>
        <c:scaling>
          <c:orientation val="minMax"/>
        </c:scaling>
        <c:delete val="1"/>
        <c:axPos val="l"/>
        <c:numFmt formatCode="\₦#,##0,,,&quot;B&quot;" sourceLinked="0"/>
        <c:majorTickMark val="none"/>
        <c:minorTickMark val="none"/>
        <c:tickLblPos val="nextTo"/>
        <c:crossAx val="10071033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 SALES REPORT.xlsx]Pivot Table!PivotTable8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Quantity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rgbClr val="00206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2">
              <a:lumMod val="75000"/>
            </a:schemeClr>
          </a:solidFill>
          <a:ln>
            <a:noFill/>
          </a:ln>
          <a:effectLst/>
          <a:sp3d/>
        </c:spPr>
      </c:pivotFmt>
    </c:pivotFmts>
    <c:plotArea>
      <c:layout/>
      <c:barChart>
        <c:barDir val="col"/>
        <c:grouping val="clustered"/>
        <c:varyColors val="0"/>
        <c:ser>
          <c:idx val="0"/>
          <c:order val="0"/>
          <c:tx>
            <c:strRef>
              <c:f>'Pivot Table'!$C$27:$C$28</c:f>
              <c:strCache>
                <c:ptCount val="1"/>
                <c:pt idx="0">
                  <c:v>2025</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Table'!$B$29:$B$32</c:f>
              <c:strCache>
                <c:ptCount val="4"/>
                <c:pt idx="0">
                  <c:v>Flour</c:v>
                </c:pt>
                <c:pt idx="1">
                  <c:v>Pasta</c:v>
                </c:pt>
                <c:pt idx="2">
                  <c:v>Rice</c:v>
                </c:pt>
                <c:pt idx="3">
                  <c:v>Sugar</c:v>
                </c:pt>
              </c:strCache>
            </c:strRef>
          </c:cat>
          <c:val>
            <c:numRef>
              <c:f>'Pivot Table'!$C$29:$C$32</c:f>
              <c:numCache>
                <c:formatCode>#,##0</c:formatCode>
                <c:ptCount val="4"/>
                <c:pt idx="0">
                  <c:v>15233300</c:v>
                </c:pt>
                <c:pt idx="1">
                  <c:v>16422500</c:v>
                </c:pt>
                <c:pt idx="2">
                  <c:v>1725520</c:v>
                </c:pt>
                <c:pt idx="3">
                  <c:v>13871700</c:v>
                </c:pt>
              </c:numCache>
            </c:numRef>
          </c:val>
          <c:extLst>
            <c:ext xmlns:c16="http://schemas.microsoft.com/office/drawing/2014/chart" uri="{C3380CC4-5D6E-409C-BE32-E72D297353CC}">
              <c16:uniqueId val="{00000000-0BAD-485C-A299-31FF1B3D7E91}"/>
            </c:ext>
          </c:extLst>
        </c:ser>
        <c:dLbls>
          <c:dLblPos val="outEnd"/>
          <c:showLegendKey val="0"/>
          <c:showVal val="1"/>
          <c:showCatName val="0"/>
          <c:showSerName val="0"/>
          <c:showPercent val="0"/>
          <c:showBubbleSize val="0"/>
        </c:dLbls>
        <c:gapWidth val="150"/>
        <c:axId val="1007081680"/>
        <c:axId val="1007102064"/>
      </c:barChart>
      <c:catAx>
        <c:axId val="1007081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7102064"/>
        <c:crosses val="autoZero"/>
        <c:auto val="1"/>
        <c:lblAlgn val="ctr"/>
        <c:lblOffset val="100"/>
        <c:noMultiLvlLbl val="0"/>
      </c:catAx>
      <c:valAx>
        <c:axId val="1007102064"/>
        <c:scaling>
          <c:orientation val="minMax"/>
        </c:scaling>
        <c:delete val="1"/>
        <c:axPos val="l"/>
        <c:numFmt formatCode="#,##0" sourceLinked="1"/>
        <c:majorTickMark val="none"/>
        <c:minorTickMark val="none"/>
        <c:tickLblPos val="nextTo"/>
        <c:crossAx val="10070816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jpe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5.jpeg"/><Relationship Id="rId5" Type="http://schemas.openxmlformats.org/officeDocument/2006/relationships/chart" Target="../charts/chart4.xml"/><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285749</xdr:colOff>
      <xdr:row>1</xdr:row>
      <xdr:rowOff>145296</xdr:rowOff>
    </xdr:from>
    <xdr:to>
      <xdr:col>35</xdr:col>
      <xdr:colOff>597647</xdr:colOff>
      <xdr:row>53</xdr:row>
      <xdr:rowOff>18677</xdr:rowOff>
    </xdr:to>
    <xdr:sp macro="" textlink="">
      <xdr:nvSpPr>
        <xdr:cNvPr id="2" name="Rounded Rectangle 1"/>
        <xdr:cNvSpPr/>
      </xdr:nvSpPr>
      <xdr:spPr>
        <a:xfrm>
          <a:off x="285749" y="350737"/>
          <a:ext cx="24497927" cy="10556322"/>
        </a:xfrm>
        <a:prstGeom prst="roundRect">
          <a:avLst>
            <a:gd name="adj" fmla="val 2693"/>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329678</xdr:colOff>
      <xdr:row>2</xdr:row>
      <xdr:rowOff>129152</xdr:rowOff>
    </xdr:from>
    <xdr:to>
      <xdr:col>35</xdr:col>
      <xdr:colOff>438708</xdr:colOff>
      <xdr:row>52</xdr:row>
      <xdr:rowOff>186765</xdr:rowOff>
    </xdr:to>
    <xdr:sp macro="" textlink="">
      <xdr:nvSpPr>
        <xdr:cNvPr id="4" name="Rounded Rectangle 3"/>
        <xdr:cNvSpPr/>
      </xdr:nvSpPr>
      <xdr:spPr>
        <a:xfrm>
          <a:off x="3784825" y="540034"/>
          <a:ext cx="20839912" cy="10329672"/>
        </a:xfrm>
        <a:prstGeom prst="roundRect">
          <a:avLst>
            <a:gd name="adj" fmla="val 208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25</xdr:col>
      <xdr:colOff>662440</xdr:colOff>
      <xdr:row>34</xdr:row>
      <xdr:rowOff>48431</xdr:rowOff>
    </xdr:from>
    <xdr:to>
      <xdr:col>35</xdr:col>
      <xdr:colOff>176852</xdr:colOff>
      <xdr:row>51</xdr:row>
      <xdr:rowOff>130734</xdr:rowOff>
    </xdr:to>
    <xdr:sp macro="" textlink="">
      <xdr:nvSpPr>
        <xdr:cNvPr id="8" name="Rounded Rectangle 7"/>
        <xdr:cNvSpPr/>
      </xdr:nvSpPr>
      <xdr:spPr>
        <a:xfrm>
          <a:off x="17807440" y="7173131"/>
          <a:ext cx="6372412" cy="3644653"/>
        </a:xfrm>
        <a:prstGeom prst="roundRect">
          <a:avLst>
            <a:gd name="adj" fmla="val 7535"/>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15</xdr:col>
      <xdr:colOff>660784</xdr:colOff>
      <xdr:row>19</xdr:row>
      <xdr:rowOff>44648</xdr:rowOff>
    </xdr:from>
    <xdr:to>
      <xdr:col>25</xdr:col>
      <xdr:colOff>322193</xdr:colOff>
      <xdr:row>32</xdr:row>
      <xdr:rowOff>104182</xdr:rowOff>
    </xdr:to>
    <xdr:sp macro="" textlink="">
      <xdr:nvSpPr>
        <xdr:cNvPr id="9" name="Rounded Rectangle 8"/>
        <xdr:cNvSpPr/>
      </xdr:nvSpPr>
      <xdr:spPr>
        <a:xfrm>
          <a:off x="10910512" y="3978887"/>
          <a:ext cx="6494561" cy="2751382"/>
        </a:xfrm>
        <a:prstGeom prst="roundRect">
          <a:avLst>
            <a:gd name="adj" fmla="val 7535"/>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666750</xdr:colOff>
      <xdr:row>19</xdr:row>
      <xdr:rowOff>44655</xdr:rowOff>
    </xdr:from>
    <xdr:to>
      <xdr:col>15</xdr:col>
      <xdr:colOff>306841</xdr:colOff>
      <xdr:row>32</xdr:row>
      <xdr:rowOff>104182</xdr:rowOff>
    </xdr:to>
    <xdr:sp macro="" textlink="">
      <xdr:nvSpPr>
        <xdr:cNvPr id="10" name="Rounded Rectangle 9"/>
        <xdr:cNvSpPr/>
      </xdr:nvSpPr>
      <xdr:spPr>
        <a:xfrm>
          <a:off x="4095750" y="4026105"/>
          <a:ext cx="6498091" cy="2783677"/>
        </a:xfrm>
        <a:prstGeom prst="roundRect">
          <a:avLst>
            <a:gd name="adj" fmla="val 7535"/>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653663</xdr:colOff>
      <xdr:row>19</xdr:row>
      <xdr:rowOff>119061</xdr:rowOff>
    </xdr:from>
    <xdr:to>
      <xdr:col>15</xdr:col>
      <xdr:colOff>9138</xdr:colOff>
      <xdr:row>32</xdr:row>
      <xdr:rowOff>89295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450275</xdr:colOff>
      <xdr:row>43</xdr:row>
      <xdr:rowOff>86590</xdr:rowOff>
    </xdr:from>
    <xdr:to>
      <xdr:col>1</xdr:col>
      <xdr:colOff>329046</xdr:colOff>
      <xdr:row>46</xdr:row>
      <xdr:rowOff>17317</xdr:rowOff>
    </xdr:to>
    <xdr:sp macro="" textlink="">
      <xdr:nvSpPr>
        <xdr:cNvPr id="3" name="Rectangle 2"/>
        <xdr:cNvSpPr/>
      </xdr:nvSpPr>
      <xdr:spPr>
        <a:xfrm>
          <a:off x="450275" y="9022772"/>
          <a:ext cx="571498" cy="554181"/>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410882</xdr:colOff>
      <xdr:row>3</xdr:row>
      <xdr:rowOff>93383</xdr:rowOff>
    </xdr:from>
    <xdr:to>
      <xdr:col>5</xdr:col>
      <xdr:colOff>239217</xdr:colOff>
      <xdr:row>7</xdr:row>
      <xdr:rowOff>130736</xdr:rowOff>
    </xdr:to>
    <mc:AlternateContent xmlns:mc="http://schemas.openxmlformats.org/markup-compatibility/2006" xmlns:a14="http://schemas.microsoft.com/office/drawing/2010/main">
      <mc:Choice Requires="a14">
        <xdr:graphicFrame macro="">
          <xdr:nvGraphicFramePr>
            <xdr:cNvPr id="2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10882" y="714579"/>
              <a:ext cx="3244911" cy="8656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588061</xdr:colOff>
      <xdr:row>3</xdr:row>
      <xdr:rowOff>165650</xdr:rowOff>
    </xdr:from>
    <xdr:to>
      <xdr:col>35</xdr:col>
      <xdr:colOff>423756</xdr:colOff>
      <xdr:row>51</xdr:row>
      <xdr:rowOff>168086</xdr:rowOff>
    </xdr:to>
    <xdr:grpSp>
      <xdr:nvGrpSpPr>
        <xdr:cNvPr id="24" name="Group 23"/>
        <xdr:cNvGrpSpPr/>
      </xdr:nvGrpSpPr>
      <xdr:grpSpPr>
        <a:xfrm>
          <a:off x="4004637" y="786846"/>
          <a:ext cx="20335152" cy="9941566"/>
          <a:chOff x="3948060" y="781974"/>
          <a:chExt cx="20567211" cy="9863612"/>
        </a:xfrm>
      </xdr:grpSpPr>
      <xdr:sp macro="" textlink="">
        <xdr:nvSpPr>
          <xdr:cNvPr id="5" name="Rounded Rectangle 4"/>
          <xdr:cNvSpPr/>
        </xdr:nvSpPr>
        <xdr:spPr>
          <a:xfrm>
            <a:off x="17801004" y="854053"/>
            <a:ext cx="6531563" cy="5880242"/>
          </a:xfrm>
          <a:prstGeom prst="roundRect">
            <a:avLst>
              <a:gd name="adj" fmla="val 4184"/>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6" name="Rounded Rectangle 5"/>
          <xdr:cNvSpPr/>
        </xdr:nvSpPr>
        <xdr:spPr>
          <a:xfrm>
            <a:off x="3948060" y="781974"/>
            <a:ext cx="11981450" cy="909985"/>
          </a:xfrm>
          <a:prstGeom prst="roundRect">
            <a:avLst>
              <a:gd name="adj" fmla="val 13708"/>
            </a:avLst>
          </a:prstGeom>
          <a:gradFill>
            <a:gsLst>
              <a:gs pos="55000">
                <a:schemeClr val="accent4">
                  <a:lumMod val="40000"/>
                  <a:lumOff val="60000"/>
                </a:schemeClr>
              </a:gs>
              <a:gs pos="100000">
                <a:schemeClr val="accent5">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600" b="1">
                <a:solidFill>
                  <a:schemeClr val="tx1"/>
                </a:solidFill>
                <a:latin typeface="Arial Black" panose="020B0A04020102020204" pitchFamily="34" charset="0"/>
              </a:rPr>
              <a:t>Financial Performance Dashboard</a:t>
            </a:r>
          </a:p>
        </xdr:txBody>
      </xdr:sp>
      <xdr:sp macro="" textlink="">
        <xdr:nvSpPr>
          <xdr:cNvPr id="7" name="Rounded Rectangle 6"/>
          <xdr:cNvSpPr/>
        </xdr:nvSpPr>
        <xdr:spPr>
          <a:xfrm rot="16200000">
            <a:off x="8944693" y="2121531"/>
            <a:ext cx="3684919" cy="13363192"/>
          </a:xfrm>
          <a:prstGeom prst="roundRect">
            <a:avLst>
              <a:gd name="adj" fmla="val 8999"/>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aphicFrame macro="">
        <xdr:nvGraphicFramePr>
          <xdr:cNvPr id="12" name="Chart 11"/>
          <xdr:cNvGraphicFramePr>
            <a:graphicFrameLocks/>
          </xdr:cNvGraphicFramePr>
        </xdr:nvGraphicFramePr>
        <xdr:xfrm>
          <a:off x="10923678" y="3932565"/>
          <a:ext cx="6560790" cy="269758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3" name="Chart 12"/>
          <xdr:cNvGraphicFramePr>
            <a:graphicFrameLocks/>
          </xdr:cNvGraphicFramePr>
        </xdr:nvGraphicFramePr>
        <xdr:xfrm>
          <a:off x="4224028" y="6947648"/>
          <a:ext cx="13210258" cy="345514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4" name="Chart 13"/>
          <xdr:cNvGraphicFramePr>
            <a:graphicFrameLocks/>
          </xdr:cNvGraphicFramePr>
        </xdr:nvGraphicFramePr>
        <xdr:xfrm>
          <a:off x="17456755" y="3982008"/>
          <a:ext cx="6794443" cy="264428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6" name="Chart 15"/>
          <xdr:cNvGraphicFramePr>
            <a:graphicFrameLocks/>
          </xdr:cNvGraphicFramePr>
        </xdr:nvGraphicFramePr>
        <xdr:xfrm>
          <a:off x="17717034" y="1028156"/>
          <a:ext cx="6798237" cy="2811599"/>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3" name="Rounded Rectangle 22"/>
          <xdr:cNvSpPr/>
        </xdr:nvSpPr>
        <xdr:spPr>
          <a:xfrm>
            <a:off x="4011603" y="2010412"/>
            <a:ext cx="4431069" cy="1627384"/>
          </a:xfrm>
          <a:prstGeom prst="roundRect">
            <a:avLst>
              <a:gd name="adj" fmla="val 7535"/>
            </a:avLst>
          </a:prstGeom>
          <a:solidFill>
            <a:srgbClr val="002060"/>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aphicFrame macro="">
        <xdr:nvGraphicFramePr>
          <xdr:cNvPr id="17" name="Chart 16"/>
          <xdr:cNvGraphicFramePr>
            <a:graphicFrameLocks/>
          </xdr:cNvGraphicFramePr>
        </xdr:nvGraphicFramePr>
        <xdr:xfrm>
          <a:off x="17880077" y="7156805"/>
          <a:ext cx="6081823" cy="3162837"/>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8" name="Rounded Rectangle 17"/>
          <xdr:cNvSpPr/>
        </xdr:nvSpPr>
        <xdr:spPr>
          <a:xfrm>
            <a:off x="4107427" y="2010412"/>
            <a:ext cx="4354442" cy="1627384"/>
          </a:xfrm>
          <a:prstGeom prst="roundRect">
            <a:avLst>
              <a:gd name="adj" fmla="val 7535"/>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22" name="Rounded Rectangle 21"/>
          <xdr:cNvSpPr/>
        </xdr:nvSpPr>
        <xdr:spPr>
          <a:xfrm>
            <a:off x="8706587" y="2010412"/>
            <a:ext cx="4324173" cy="1659672"/>
          </a:xfrm>
          <a:prstGeom prst="roundRect">
            <a:avLst>
              <a:gd name="adj" fmla="val 7535"/>
            </a:avLst>
          </a:prstGeom>
          <a:solidFill>
            <a:srgbClr val="002060"/>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19" name="Rounded Rectangle 18"/>
          <xdr:cNvSpPr/>
        </xdr:nvSpPr>
        <xdr:spPr>
          <a:xfrm>
            <a:off x="8842595" y="2010412"/>
            <a:ext cx="4202199" cy="1659672"/>
          </a:xfrm>
          <a:prstGeom prst="roundRect">
            <a:avLst>
              <a:gd name="adj" fmla="val 7535"/>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21" name="Rounded Rectangle 20"/>
          <xdr:cNvSpPr/>
        </xdr:nvSpPr>
        <xdr:spPr>
          <a:xfrm>
            <a:off x="13275664" y="1994268"/>
            <a:ext cx="4233328" cy="1675816"/>
          </a:xfrm>
          <a:prstGeom prst="roundRect">
            <a:avLst>
              <a:gd name="adj" fmla="val 7535"/>
            </a:avLst>
          </a:prstGeom>
          <a:solidFill>
            <a:srgbClr val="002060"/>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20" name="Rounded Rectangle 19"/>
          <xdr:cNvSpPr/>
        </xdr:nvSpPr>
        <xdr:spPr>
          <a:xfrm>
            <a:off x="13400166" y="1994268"/>
            <a:ext cx="4146179" cy="1675816"/>
          </a:xfrm>
          <a:prstGeom prst="roundRect">
            <a:avLst>
              <a:gd name="adj" fmla="val 7535"/>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15" name="TextBox 14"/>
          <xdr:cNvSpPr txBox="1"/>
        </xdr:nvSpPr>
        <xdr:spPr>
          <a:xfrm>
            <a:off x="5097293" y="2262899"/>
            <a:ext cx="3441364" cy="629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t>Total</a:t>
            </a:r>
            <a:r>
              <a:rPr lang="en-GB" sz="2800" b="1"/>
              <a:t> </a:t>
            </a:r>
            <a:r>
              <a:rPr lang="en-GB" sz="3200" b="1"/>
              <a:t>Revenue</a:t>
            </a:r>
          </a:p>
        </xdr:txBody>
      </xdr:sp>
      <xdr:sp macro="" textlink="'Pivot Table'!I4">
        <xdr:nvSpPr>
          <xdr:cNvPr id="25" name="TextBox 24"/>
          <xdr:cNvSpPr txBox="1"/>
        </xdr:nvSpPr>
        <xdr:spPr>
          <a:xfrm>
            <a:off x="5204255" y="2888246"/>
            <a:ext cx="2844838" cy="607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E70BC5-5784-495C-B0C9-0DA51890AEFC}" type="TxLink">
              <a:rPr lang="en-US" sz="2400" b="1" i="0" u="none" strike="noStrike">
                <a:solidFill>
                  <a:srgbClr val="000000"/>
                </a:solidFill>
                <a:latin typeface="Calibri"/>
                <a:cs typeface="Calibri"/>
              </a:rPr>
              <a:pPr/>
              <a:t>₦ 1,800,006,285,000</a:t>
            </a:fld>
            <a:endParaRPr lang="en-GB" sz="2400" b="1"/>
          </a:p>
        </xdr:txBody>
      </xdr:sp>
      <xdr:sp macro="" textlink="">
        <xdr:nvSpPr>
          <xdr:cNvPr id="26" name="TextBox 25"/>
          <xdr:cNvSpPr txBox="1"/>
        </xdr:nvSpPr>
        <xdr:spPr>
          <a:xfrm>
            <a:off x="10202764" y="2222501"/>
            <a:ext cx="2618563" cy="63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t>Total Profit</a:t>
            </a:r>
          </a:p>
        </xdr:txBody>
      </xdr:sp>
      <xdr:sp macro="" textlink="'Pivot Table'!M3">
        <xdr:nvSpPr>
          <xdr:cNvPr id="27" name="TextBox 26"/>
          <xdr:cNvSpPr txBox="1"/>
        </xdr:nvSpPr>
        <xdr:spPr>
          <a:xfrm>
            <a:off x="10159231" y="2853610"/>
            <a:ext cx="3007642" cy="761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8A7D28-312B-490B-94FF-C2881B4CAD11}" type="TxLink">
              <a:rPr lang="en-US" sz="2400" b="1" i="0" u="none" strike="noStrike">
                <a:solidFill>
                  <a:srgbClr val="000000"/>
                </a:solidFill>
                <a:latin typeface="Calibri"/>
                <a:cs typeface="Calibri"/>
              </a:rPr>
              <a:pPr/>
              <a:t>₦ 672,159,994,701</a:t>
            </a:fld>
            <a:endParaRPr lang="en-GB" sz="2400" b="1"/>
          </a:p>
        </xdr:txBody>
      </xdr:sp>
      <xdr:pic>
        <xdr:nvPicPr>
          <xdr:cNvPr id="33" name="Picture 32"/>
          <xdr:cNvPicPr>
            <a:picLocks noChangeAspect="1"/>
          </xdr:cNvPicPr>
        </xdr:nvPicPr>
        <xdr:blipFill>
          <a:blip xmlns:r="http://schemas.openxmlformats.org/officeDocument/2006/relationships" r:embed="rId8"/>
          <a:stretch>
            <a:fillRect/>
          </a:stretch>
        </xdr:blipFill>
        <xdr:spPr>
          <a:xfrm>
            <a:off x="9203507" y="2494364"/>
            <a:ext cx="673714" cy="668280"/>
          </a:xfrm>
          <a:prstGeom prst="rect">
            <a:avLst/>
          </a:prstGeom>
        </xdr:spPr>
      </xdr:pic>
      <xdr:pic>
        <xdr:nvPicPr>
          <xdr:cNvPr id="37" name="Picture 36"/>
          <xdr:cNvPicPr>
            <a:picLocks noChangeAspect="1"/>
          </xdr:cNvPicPr>
        </xdr:nvPicPr>
        <xdr:blipFill>
          <a:blip xmlns:r="http://schemas.openxmlformats.org/officeDocument/2006/relationships" r:embed="rId9"/>
          <a:stretch>
            <a:fillRect/>
          </a:stretch>
        </xdr:blipFill>
        <xdr:spPr>
          <a:xfrm>
            <a:off x="13611492" y="2447500"/>
            <a:ext cx="829574" cy="821765"/>
          </a:xfrm>
          <a:prstGeom prst="rect">
            <a:avLst/>
          </a:prstGeom>
        </xdr:spPr>
      </xdr:pic>
      <xdr:pic>
        <xdr:nvPicPr>
          <xdr:cNvPr id="40" name="Picture 39"/>
          <xdr:cNvPicPr>
            <a:picLocks noChangeAspect="1"/>
          </xdr:cNvPicPr>
        </xdr:nvPicPr>
        <xdr:blipFill>
          <a:blip xmlns:r="http://schemas.openxmlformats.org/officeDocument/2006/relationships" r:embed="rId10"/>
          <a:stretch>
            <a:fillRect/>
          </a:stretch>
        </xdr:blipFill>
        <xdr:spPr>
          <a:xfrm>
            <a:off x="4377025" y="2586521"/>
            <a:ext cx="614830" cy="609398"/>
          </a:xfrm>
          <a:prstGeom prst="rect">
            <a:avLst/>
          </a:prstGeom>
        </xdr:spPr>
      </xdr:pic>
      <xdr:sp macro="" textlink="">
        <xdr:nvSpPr>
          <xdr:cNvPr id="41" name="TextBox 40"/>
          <xdr:cNvSpPr txBox="1"/>
        </xdr:nvSpPr>
        <xdr:spPr>
          <a:xfrm>
            <a:off x="14754549" y="2203824"/>
            <a:ext cx="2518753" cy="651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t>Total Tax</a:t>
            </a:r>
          </a:p>
        </xdr:txBody>
      </xdr:sp>
      <xdr:sp macro="" textlink="'Pivot Table'!J5">
        <xdr:nvSpPr>
          <xdr:cNvPr id="42" name="TextBox 41"/>
          <xdr:cNvSpPr txBox="1"/>
        </xdr:nvSpPr>
        <xdr:spPr>
          <a:xfrm>
            <a:off x="14556201" y="2838823"/>
            <a:ext cx="2590347" cy="48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E0D030-F9E3-44A1-B68E-3060E3E67E79}" type="TxLink">
              <a:rPr lang="en-US" sz="2000" b="1" i="0" u="none" strike="noStrike">
                <a:solidFill>
                  <a:srgbClr val="000000"/>
                </a:solidFill>
                <a:latin typeface="Trebuchet MS"/>
                <a:cs typeface="Calibri" panose="020F0502020204030204" pitchFamily="34" charset="0"/>
              </a:rPr>
              <a:pPr/>
              <a:t>₦ 164,430,000,000</a:t>
            </a:fld>
            <a:endParaRPr lang="en-GB" sz="4400" b="1">
              <a:latin typeface="Calibri" panose="020F0502020204030204" pitchFamily="34" charset="0"/>
              <a:cs typeface="Calibri" panose="020F0502020204030204" pitchFamily="34" charset="0"/>
            </a:endParaRPr>
          </a:p>
        </xdr:txBody>
      </xdr:sp>
    </xdr:grpSp>
    <xdr:clientData/>
  </xdr:twoCellAnchor>
  <xdr:twoCellAnchor editAs="oneCell">
    <xdr:from>
      <xdr:col>0</xdr:col>
      <xdr:colOff>415636</xdr:colOff>
      <xdr:row>11</xdr:row>
      <xdr:rowOff>34635</xdr:rowOff>
    </xdr:from>
    <xdr:to>
      <xdr:col>5</xdr:col>
      <xdr:colOff>200489</xdr:colOff>
      <xdr:row>18</xdr:row>
      <xdr:rowOff>144547</xdr:rowOff>
    </xdr:to>
    <mc:AlternateContent xmlns:mc="http://schemas.openxmlformats.org/markup-compatibility/2006" xmlns:a14="http://schemas.microsoft.com/office/drawing/2010/main">
      <mc:Choice Requires="a14">
        <xdr:graphicFrame macro="">
          <xdr:nvGraphicFramePr>
            <xdr:cNvPr id="38"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15636" y="2312352"/>
              <a:ext cx="3201429" cy="15593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415636</xdr:colOff>
      <xdr:row>21</xdr:row>
      <xdr:rowOff>79251</xdr:rowOff>
    </xdr:from>
    <xdr:to>
      <xdr:col>5</xdr:col>
      <xdr:colOff>236489</xdr:colOff>
      <xdr:row>34</xdr:row>
      <xdr:rowOff>130735</xdr:rowOff>
    </xdr:to>
    <mc:AlternateContent xmlns:mc="http://schemas.openxmlformats.org/markup-compatibility/2006" xmlns:a14="http://schemas.microsoft.com/office/drawing/2010/main">
      <mc:Choice Requires="a14">
        <xdr:graphicFrame macro="">
          <xdr:nvGraphicFramePr>
            <xdr:cNvPr id="4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5636" y="4427621"/>
              <a:ext cx="3237429" cy="27433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346366</xdr:colOff>
      <xdr:row>44</xdr:row>
      <xdr:rowOff>51954</xdr:rowOff>
    </xdr:from>
    <xdr:ext cx="2251362" cy="345544"/>
    <xdr:sp macro="" textlink="">
      <xdr:nvSpPr>
        <xdr:cNvPr id="29" name="TextBox 28"/>
        <xdr:cNvSpPr txBox="1"/>
      </xdr:nvSpPr>
      <xdr:spPr>
        <a:xfrm>
          <a:off x="1039093" y="9195954"/>
          <a:ext cx="2251362"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b="0">
              <a:solidFill>
                <a:schemeClr val="tx1"/>
              </a:solidFill>
              <a:latin typeface="Arial Black" panose="020B0A04020102020204" pitchFamily="34" charset="0"/>
            </a:rPr>
            <a:t>Oluwafemi Ezekiel</a:t>
          </a:r>
        </a:p>
      </xdr:txBody>
    </xdr:sp>
    <xdr:clientData/>
  </xdr:oneCellAnchor>
  <xdr:twoCellAnchor>
    <xdr:from>
      <xdr:col>0</xdr:col>
      <xdr:colOff>467592</xdr:colOff>
      <xdr:row>46</xdr:row>
      <xdr:rowOff>155863</xdr:rowOff>
    </xdr:from>
    <xdr:to>
      <xdr:col>1</xdr:col>
      <xdr:colOff>329046</xdr:colOff>
      <xdr:row>49</xdr:row>
      <xdr:rowOff>51955</xdr:rowOff>
    </xdr:to>
    <xdr:sp macro="" textlink="">
      <xdr:nvSpPr>
        <xdr:cNvPr id="31" name="Rectangle 30"/>
        <xdr:cNvSpPr/>
      </xdr:nvSpPr>
      <xdr:spPr>
        <a:xfrm flipV="1">
          <a:off x="467592" y="9715499"/>
          <a:ext cx="554181" cy="519547"/>
        </a:xfrm>
        <a:prstGeom prst="rect">
          <a:avLst/>
        </a:prstGeom>
        <a:blipFill dpi="0" rotWithShape="1">
          <a:blip xmlns:r="http://schemas.openxmlformats.org/officeDocument/2006/relationships" r:embed="rId11" cstate="print">
            <a:extLst>
              <a:ext uri="{28A0092B-C50C-407E-A947-70E740481C1C}">
                <a14:useLocalDpi xmlns:a14="http://schemas.microsoft.com/office/drawing/2010/main" val="0"/>
              </a:ext>
            </a:extLst>
          </a:blip>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1</xdr:col>
      <xdr:colOff>381005</xdr:colOff>
      <xdr:row>46</xdr:row>
      <xdr:rowOff>190500</xdr:rowOff>
    </xdr:from>
    <xdr:ext cx="1818406" cy="345544"/>
    <xdr:sp macro="" textlink="">
      <xdr:nvSpPr>
        <xdr:cNvPr id="45" name="TextBox 44"/>
        <xdr:cNvSpPr txBox="1"/>
      </xdr:nvSpPr>
      <xdr:spPr>
        <a:xfrm>
          <a:off x="1073732" y="9750136"/>
          <a:ext cx="1818406"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b="0">
              <a:solidFill>
                <a:schemeClr val="tx1"/>
              </a:solidFill>
              <a:latin typeface="Arial Black" panose="020B0A04020102020204" pitchFamily="34" charset="0"/>
            </a:rPr>
            <a:t>@Femighty02</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saveData="0" refreshedBy="FEMI" refreshedDate="46100.550381250003" backgroundQuery="1" createdVersion="6" refreshedVersion="6" minRefreshableVersion="3" recordCount="0" supportSubquery="1" supportAdvancedDrill="1">
  <cacheSource type="external" connectionId="1"/>
  <cacheFields count="4">
    <cacheField name="[Measures].[Sum of Total Sales]" caption="Sum of Total Sales" numFmtId="0" hierarchy="15" level="32767"/>
    <cacheField name="[Range].[Year].[Year]" caption="Year" numFmtId="0" hierarchy="2" level="1">
      <sharedItems containsSemiMixedTypes="0" containsString="0" containsNumber="1" containsInteger="1" minValue="2024" maxValue="2025" count="2">
        <n v="2025"/>
        <n v="2024" u="1"/>
      </sharedItems>
      <extLst>
        <ext xmlns:x15="http://schemas.microsoft.com/office/spreadsheetml/2010/11/main" uri="{4F2E5C28-24EA-4eb8-9CBF-B6C8F9C3D259}">
          <x15:cachedUniqueNames>
            <x15:cachedUniqueName index="0" name="[Range].[Year].&amp;[2025]"/>
            <x15:cachedUniqueName index="1" name="[Range].[Year].&amp;[2024]"/>
          </x15:cachedUniqueNames>
        </ext>
      </extLst>
    </cacheField>
    <cacheField name="[Range].[Region].[Region]" caption="Region" numFmtId="0" hierarchy="3" level="1">
      <sharedItems count="4">
        <s v="North-Central"/>
        <s v="North-West"/>
        <s v="South-South"/>
        <s v="South-West"/>
      </sharedItems>
    </cacheField>
    <cacheField name="[Range].[Product].[Product]" caption="Product" numFmtId="0" hierarchy="4"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FEMI" refreshedDate="46100.550389236108" backgroundQuery="1" createdVersion="6" refreshedVersion="6" minRefreshableVersion="3" recordCount="0" supportSubquery="1" supportAdvancedDrill="1">
  <cacheSource type="external" connectionId="1"/>
  <cacheFields count="5">
    <cacheField name="[Measures].[Sum of Total Sales]" caption="Sum of Total Sales" numFmtId="0" hierarchy="15" level="32767"/>
    <cacheField name="[Range].[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Range].[Year].&amp;[2025]"/>
          </x15:cachedUniqueNames>
        </ext>
      </extLst>
    </cacheField>
    <cacheField name="[Range].[Quarter].[Quarter]" caption="Quarter" numFmtId="0" hierarchy="9" level="1">
      <sharedItems count="4">
        <s v="Q1"/>
        <s v="Q2"/>
        <s v="Q3"/>
        <s v="Q4"/>
      </sharedItems>
    </cacheField>
    <cacheField name="[Range].[Product].[Product]" caption="Product" numFmtId="0" hierarchy="4" level="1">
      <sharedItems containsSemiMixedTypes="0" containsNonDate="0" containsString="0"/>
    </cacheField>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2" memberValueDatatype="130" unbalanced="0">
      <fieldsUsage count="2">
        <fieldUsage x="-1"/>
        <fieldUsage x="2"/>
      </fieldsUsage>
    </cacheHierarchy>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FEMI" refreshedDate="46100.550394444443" backgroundQuery="1" createdVersion="6" refreshedVersion="6" minRefreshableVersion="3" recordCount="0" supportSubquery="1" supportAdvancedDrill="1">
  <cacheSource type="external" connectionId="1"/>
  <cacheFields count="4">
    <cacheField name="[Range].[Year].[Year]" caption="Year" numFmtId="0" hierarchy="2" level="1">
      <sharedItems containsSemiMixedTypes="0" containsString="0" containsNumber="1" containsInteger="1" minValue="2024" maxValue="2025" count="2">
        <n v="2025"/>
        <n v="2024" u="1"/>
      </sharedItems>
      <extLst>
        <ext xmlns:x15="http://schemas.microsoft.com/office/spreadsheetml/2010/11/main" uri="{4F2E5C28-24EA-4eb8-9CBF-B6C8F9C3D259}">
          <x15:cachedUniqueNames>
            <x15:cachedUniqueName index="0" name="[Range].[Year].&amp;[2025]"/>
            <x15:cachedUniqueName index="1" name="[Range].[Year].&amp;[2024]"/>
          </x15:cachedUniqueNames>
        </ext>
      </extLst>
    </cacheField>
    <cacheField name="[Range].[Product].[Product]" caption="Product" numFmtId="0" hierarchy="4" level="1">
      <sharedItems count="4">
        <s v="Flour"/>
        <s v="Pasta"/>
        <s v="Rice"/>
        <s v="Sugar"/>
      </sharedItems>
    </cacheField>
    <cacheField name="[Measures].[Sum of Total Product Profit]" caption="Sum of Total Product Profit" numFmtId="0" hierarchy="17" level="32767"/>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FEMI" refreshedDate="46100.550401388886" backgroundQuery="1" createdVersion="6" refreshedVersion="6" minRefreshableVersion="3" recordCount="0" supportSubquery="1" supportAdvancedDrill="1">
  <cacheSource type="external" connectionId="1"/>
  <cacheFields count="5">
    <cacheField name="[Measures].[Sum of Total Sales]" caption="Sum of Total Sales" numFmtId="0" hierarchy="15" level="32767"/>
    <cacheField name="[Range].[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Range].[Year].&amp;[2025]"/>
          </x15:cachedUniqueNames>
        </ext>
      </extLst>
    </cacheField>
    <cacheField name="[Range].[Quarter].[Quarter]" caption="Quarter" numFmtId="0" hierarchy="9" level="1">
      <sharedItems count="4">
        <s v="Q1"/>
        <s v="Q2"/>
        <s v="Q3"/>
        <s v="Q4"/>
      </sharedItems>
    </cacheField>
    <cacheField name="[Range].[Product].[Product]" caption="Product" numFmtId="0" hierarchy="4" level="1">
      <sharedItems count="4">
        <s v="Flour"/>
        <s v="Pasta"/>
        <s v="Rice"/>
        <s v="Sugar"/>
      </sharedItems>
    </cacheField>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2" memberValueDatatype="130" unbalanced="0">
      <fieldsUsage count="2">
        <fieldUsage x="-1"/>
        <fieldUsage x="2"/>
      </fieldsUsage>
    </cacheHierarchy>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FEMI" refreshedDate="46100.550407523151" backgroundQuery="1" createdVersion="6" refreshedVersion="6" minRefreshableVersion="3" recordCount="0" supportSubquery="1" supportAdvancedDrill="1">
  <cacheSource type="external" connectionId="1"/>
  <cacheFields count="5">
    <cacheField name="[Measures].[Sum of Total Sales]" caption="Sum of Total Sales" numFmtId="0" hierarchy="15" level="32767"/>
    <cacheField name="[Range].[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Range].[Year].&amp;[2025]"/>
          </x15:cachedUniqueNames>
        </ext>
      </extLst>
    </cacheField>
    <cacheField name="[Range].[Category].[Category]" caption="Category" numFmtId="0" hierarchy="5" level="1">
      <sharedItems count="2">
        <s v="Baking"/>
        <s v="Pantry Staples"/>
      </sharedItems>
    </cacheField>
    <cacheField name="[Range].[Product].[Product]" caption="Product" numFmtId="0" hierarchy="4" level="1">
      <sharedItems containsSemiMixedTypes="0" containsNonDate="0" containsString="0"/>
    </cacheField>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FEMI" refreshedDate="46100.550412615739" backgroundQuery="1" createdVersion="6" refreshedVersion="6" minRefreshableVersion="3" recordCount="0" supportSubquery="1" supportAdvancedDrill="1">
  <cacheSource type="external" connectionId="1"/>
  <cacheFields count="5">
    <cacheField name="[Range].[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Range].[Year].&amp;[2025]"/>
          </x15:cachedUniqueNames>
        </ext>
      </extLst>
    </cacheField>
    <cacheField name="[Range].[Quarter].[Quarter]" caption="Quarter" numFmtId="0" hierarchy="9" level="1">
      <sharedItems count="4">
        <s v="Q1"/>
        <s v="Q2"/>
        <s v="Q3"/>
        <s v="Q4"/>
      </sharedItems>
    </cacheField>
    <cacheField name="[Range].[Product].[Product]" caption="Product" numFmtId="0" hierarchy="4" level="1">
      <sharedItems count="4">
        <s v="Flour"/>
        <s v="Pasta"/>
        <s v="Rice"/>
        <s v="Sugar"/>
      </sharedItems>
    </cacheField>
    <cacheField name="[Measures].[Sum of Total Product Profit]" caption="Sum of Total Product Profit" numFmtId="0" hierarchy="17" level="32767"/>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2" memberValueDatatype="130" unbalanced="0">
      <fieldsUsage count="2">
        <fieldUsage x="-1"/>
        <fieldUsage x="1"/>
      </fieldsUsage>
    </cacheHierarchy>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FEMI" refreshedDate="46100.550418865743" backgroundQuery="1" createdVersion="6" refreshedVersion="6" minRefreshableVersion="3" recordCount="0" supportSubquery="1" supportAdvancedDrill="1">
  <cacheSource type="external" connectionId="1"/>
  <cacheFields count="4">
    <cacheField name="[Range].[Product].[Product]" caption="Product" numFmtId="0" hierarchy="4" level="1">
      <sharedItems count="4">
        <s v="Flour"/>
        <s v="Pasta"/>
        <s v="Rice"/>
        <s v="Sugar"/>
      </sharedItems>
    </cacheField>
    <cacheField name="[Range].[Year].[Year]" caption="Year" numFmtId="0" hierarchy="2" level="1">
      <sharedItems containsSemiMixedTypes="0" containsString="0" containsNumber="1" containsInteger="1" minValue="2024" maxValue="2025" count="2">
        <n v="2025"/>
        <n v="2024" u="1"/>
      </sharedItems>
      <extLst>
        <ext xmlns:x15="http://schemas.microsoft.com/office/spreadsheetml/2010/11/main" uri="{4F2E5C28-24EA-4eb8-9CBF-B6C8F9C3D259}">
          <x15:cachedUniqueNames>
            <x15:cachedUniqueName index="0" name="[Range].[Year].&amp;[2025]"/>
            <x15:cachedUniqueName index="1" name="[Range].[Year].&amp;[2024]"/>
          </x15:cachedUniqueNames>
        </ext>
      </extLst>
    </cacheField>
    <cacheField name="[Measures].[Sum of Quantity]" caption="Sum of Quantity" numFmtId="0" hierarchy="19" level="32767"/>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FEMI" refreshedDate="46100.550425347225" backgroundQuery="1" createdVersion="6" refreshedVersion="6" minRefreshableVersion="3" recordCount="0" supportSubquery="1" supportAdvancedDrill="1">
  <cacheSource type="external" connectionId="1"/>
  <cacheFields count="4">
    <cacheField name="[Measures].[Sum of Total Sales]" caption="Sum of Total Sales" numFmtId="0" hierarchy="15" level="32767"/>
    <cacheField name="[Range].[Year].[Year]" caption="Year" numFmtId="0" hierarchy="2" level="1">
      <sharedItems containsSemiMixedTypes="0" containsNonDate="0" containsString="0"/>
    </cacheField>
    <cacheField name="[Range].[Product].[Product]" caption="Product" numFmtId="0" hierarchy="4" level="1">
      <sharedItems containsSemiMixedTypes="0" containsNonDate="0" containsString="0"/>
    </cacheField>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FEMI" refreshedDate="46100.550430555559" backgroundQuery="1" createdVersion="6" refreshedVersion="6" minRefreshableVersion="3" recordCount="0" supportSubquery="1" supportAdvancedDrill="1">
  <cacheSource type="external" connectionId="1"/>
  <cacheFields count="4">
    <cacheField name="[Range].[Year].[Year]" caption="Year" numFmtId="0" hierarchy="2" level="1">
      <sharedItems containsSemiMixedTypes="0" containsNonDate="0" containsString="0"/>
    </cacheField>
    <cacheField name="[Measures].[Sum of Total Product Profit]" caption="Sum of Total Product Profit" numFmtId="0" hierarchy="17" level="32767"/>
    <cacheField name="[Range].[Product].[Product]" caption="Product" numFmtId="0" hierarchy="4" level="1">
      <sharedItems containsSemiMixedTypes="0" containsNonDate="0" containsString="0"/>
    </cacheField>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FEMI" refreshedDate="46100.550435648147" backgroundQuery="1" createdVersion="6" refreshedVersion="6" minRefreshableVersion="3" recordCount="0" supportSubquery="1" supportAdvancedDrill="1">
  <cacheSource type="external" connectionId="1"/>
  <cacheFields count="4">
    <cacheField name="[Range].[Product].[Product]" caption="Product" numFmtId="0" hierarchy="4" level="1">
      <sharedItems count="4">
        <s v="Flour"/>
        <s v="Pasta"/>
        <s v="Rice"/>
        <s v="Sugar"/>
      </sharedItems>
    </cacheField>
    <cacheField name="[Measures].[Sum of Total Sales]" caption="Sum of Total Sales" numFmtId="0" hierarchy="15" level="32767"/>
    <cacheField name="[Range].[Year].[Year]" caption="Year" numFmtId="0" hierarchy="2" level="1">
      <sharedItems containsSemiMixedTypes="0" containsString="0" containsNumber="1" containsInteger="1" minValue="2024" maxValue="2025" count="2">
        <n v="2025"/>
        <n v="2024" u="1"/>
      </sharedItems>
      <extLst>
        <ext xmlns:x15="http://schemas.microsoft.com/office/spreadsheetml/2010/11/main" uri="{4F2E5C28-24EA-4eb8-9CBF-B6C8F9C3D259}">
          <x15:cachedUniqueNames>
            <x15:cachedUniqueName index="0" name="[Range].[Year].&amp;[2025]"/>
            <x15:cachedUniqueName index="1" name="[Range].[Year].&amp;[2024]"/>
          </x15:cachedUniqueNames>
        </ext>
      </extLst>
    </cacheField>
    <cacheField name="[Range].[Region].[Region]" caption="Region" numFmtId="0" hierarchy="3"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FEMI" refreshedDate="46100.55034814815"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2">
  <location ref="K17:L39" firstHeaderRow="1" firstDataRow="2" firstDataCol="1"/>
  <pivotFields count="5">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2">
    <field x="1"/>
    <field x="2"/>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0"/>
  </colFields>
  <colItems count="1">
    <i>
      <x/>
    </i>
  </colItems>
  <dataFields count="1">
    <dataField name="Product Profit" fld="3" baseField="0" baseItem="0"/>
  </dataFields>
  <formats count="1">
    <format dxfId="0">
      <pivotArea outline="0" collapsedLevelsAreSubtotals="1" fieldPosition="0"/>
    </format>
  </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Product Profit"/>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2.xml><?xml version="1.0" encoding="utf-8"?>
<pivotTableDefinition xmlns="http://schemas.openxmlformats.org/spreadsheetml/2006/main" name="PivotTable8" cacheId="6"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showHeaders="0" outline="1" outlineData="1" multipleFieldFilters="0" chartFormat="23">
  <location ref="B27:C32" firstHeaderRow="1" firstDataRow="2" firstDataCol="1"/>
  <pivotFields count="4">
    <pivotField axis="axisRow" allDrilled="1" showAll="0" dataSourceSort="1" defaultAttributeDrillState="1">
      <items count="5">
        <item x="0"/>
        <item x="1"/>
        <item x="2"/>
        <item x="3"/>
        <item t="default"/>
      </items>
    </pivotField>
    <pivotField axis="axisCol" allDrilled="1" showAll="0" dataSourceSort="1" defaultAttributeDrillState="1">
      <items count="3">
        <item s="1" x="0"/>
        <item x="1"/>
        <item t="default"/>
      </items>
    </pivotField>
    <pivotField dataField="1" showAll="0"/>
    <pivotField allDrilled="1" showAll="0" dataSourceSort="1" defaultAttributeDrillState="1"/>
  </pivotFields>
  <rowFields count="1">
    <field x="0"/>
  </rowFields>
  <rowItems count="4">
    <i>
      <x/>
    </i>
    <i>
      <x v="1"/>
    </i>
    <i>
      <x v="2"/>
    </i>
    <i>
      <x v="3"/>
    </i>
  </rowItems>
  <colFields count="1">
    <field x="1"/>
  </colFields>
  <colItems count="1">
    <i>
      <x/>
    </i>
  </colItems>
  <dataFields count="1">
    <dataField name="Sum of Quantity" fld="2" baseField="0" baseItem="0" numFmtId="3"/>
  </dataFields>
  <formats count="5">
    <format dxfId="5">
      <pivotArea outline="0" collapsedLevelsAreSubtotals="1" fieldPosition="0"/>
    </format>
    <format dxfId="4">
      <pivotArea dataOnly="0" labelOnly="1" fieldPosition="0">
        <references count="1">
          <reference field="1" count="0"/>
        </references>
      </pivotArea>
    </format>
    <format dxfId="3">
      <pivotArea dataOnly="0" labelOnly="1" fieldPosition="0">
        <references count="1">
          <reference field="1" count="0"/>
        </references>
      </pivotArea>
    </format>
    <format dxfId="2">
      <pivotArea outline="0" collapsedLevelsAreSubtotals="1" fieldPosition="0"/>
    </format>
    <format dxfId="1">
      <pivotArea outline="0" fieldPosition="0">
        <references count="1">
          <reference field="4294967294" count="1">
            <x v="0"/>
          </reference>
        </references>
      </pivotArea>
    </format>
  </formats>
  <chartFormats count="5">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series="1">
      <pivotArea type="data" outline="0" fieldPosition="0">
        <references count="2">
          <reference field="4294967294" count="1" selected="0">
            <x v="0"/>
          </reference>
          <reference field="1" count="1" selected="0">
            <x v="1"/>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3.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15">
  <location ref="H17:I39" firstHeaderRow="1" firstDataRow="2" firstDataCol="1"/>
  <pivotFields count="5">
    <pivotField dataField="1" showAll="0"/>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 axis="axisRow" allDrilled="1" showAll="0" dataSourceSort="1" defaultAttributeDrillState="1">
      <items count="5">
        <item x="0"/>
        <item x="1"/>
        <item x="2"/>
        <item x="3"/>
        <item t="default"/>
      </items>
    </pivotField>
    <pivotField allDrilled="1" showAll="0" dataSourceSort="1" defaultAttributeDrillState="1"/>
  </pivotFields>
  <rowFields count="2">
    <field x="2"/>
    <field x="3"/>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1"/>
  </colFields>
  <colItems count="1">
    <i>
      <x/>
    </i>
  </colItems>
  <dataFields count="1">
    <dataField name="Total Sales" fld="0" baseField="0" baseItem="0" numFmtId="166"/>
  </dataFields>
  <formats count="1">
    <format dxfId="6">
      <pivotArea outline="0" collapsedLevelsAreSubtotals="1" fieldPosition="0"/>
    </format>
  </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4.xml><?xml version="1.0" encoding="utf-8"?>
<pivotTableDefinition xmlns="http://schemas.openxmlformats.org/spreadsheetml/2006/main" name="PivotTable10" cacheId="8"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9">
  <location ref="L2:L3" firstHeaderRow="1" firstDataRow="1" firstDataCol="0"/>
  <pivotFields count="4">
    <pivotField allDrilled="1" showAll="0" dataSourceSort="1" defaultAttributeDrillState="1"/>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Product Profit" fld="1" baseField="0" baseItem="0" numFmtId="165"/>
  </dataFields>
  <formats count="2">
    <format dxfId="8">
      <pivotArea outline="0" collapsedLevelsAreSubtotals="1" fieldPosition="0"/>
    </format>
    <format dxfId="7">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members count="1" level="1">
        <member name="[Range].[Year].&amp;[2025]"/>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Product Profi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5.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18">
  <location ref="B9:C15" firstHeaderRow="1" firstDataRow="2" firstDataCol="1"/>
  <pivotFields count="4">
    <pivotField axis="axisRow" allDrilled="1" showAll="0" dataSourceSort="1" defaultAttributeDrillState="1">
      <items count="5">
        <item x="0"/>
        <item x="1"/>
        <item x="2"/>
        <item x="3"/>
        <item t="default"/>
      </items>
    </pivotField>
    <pivotField dataField="1" showAll="0"/>
    <pivotField axis="axisCol" allDrilled="1" showAll="0" dataSourceSort="1" defaultAttributeDrillState="1">
      <items count="3">
        <item s="1" x="0"/>
        <item x="1"/>
        <item t="default"/>
      </items>
    </pivotField>
    <pivotField allDrilled="1" showAll="0" dataSourceSort="1" defaultAttributeDrillState="1"/>
  </pivotFields>
  <rowFields count="1">
    <field x="0"/>
  </rowFields>
  <rowItems count="5">
    <i>
      <x/>
    </i>
    <i>
      <x v="1"/>
    </i>
    <i>
      <x v="2"/>
    </i>
    <i>
      <x v="3"/>
    </i>
    <i t="grand">
      <x/>
    </i>
  </rowItems>
  <colFields count="1">
    <field x="2"/>
  </colFields>
  <colItems count="1">
    <i>
      <x/>
    </i>
  </colItems>
  <dataFields count="1">
    <dataField name="Total Sales" fld="1" baseField="0" baseItem="0" numFmtId="165"/>
  </dataFields>
  <formats count="4">
    <format dxfId="12">
      <pivotArea outline="0" collapsedLevelsAreSubtotals="1" fieldPosition="0"/>
    </format>
    <format dxfId="11">
      <pivotArea dataOnly="0" labelOnly="1" fieldPosition="0">
        <references count="1">
          <reference field="2" count="0"/>
        </references>
      </pivotArea>
    </format>
    <format dxfId="10">
      <pivotArea dataOnly="0" labelOnly="1" fieldPosition="0">
        <references count="1">
          <reference field="2" count="0"/>
        </references>
      </pivotArea>
    </format>
    <format dxfId="9">
      <pivotArea outline="0" collapsedLevelsAreSubtotals="1" fieldPosition="0"/>
    </format>
  </formats>
  <chartFormats count="6">
    <chartFormat chart="12" format="3" series="1">
      <pivotArea type="data" outline="0" fieldPosition="0">
        <references count="2">
          <reference field="4294967294" count="1" selected="0">
            <x v="0"/>
          </reference>
          <reference field="2" count="1" selected="0">
            <x v="0"/>
          </reference>
        </references>
      </pivotArea>
    </chartFormat>
    <chartFormat chart="12" format="4" series="1">
      <pivotArea type="data" outline="0" fieldPosition="0">
        <references count="2">
          <reference field="4294967294" count="1" selected="0">
            <x v="0"/>
          </reference>
          <reference field="2" count="1" selected="0">
            <x v="1"/>
          </reference>
        </references>
      </pivotArea>
    </chartFormat>
    <chartFormat chart="12" format="5"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6.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5">
  <location ref="E17:F21" firstHeaderRow="1" firstDataRow="2" firstDataCol="1"/>
  <pivotFields count="5">
    <pivotField dataField="1" showAll="0"/>
    <pivotField axis="axisCol" allDrilled="1" showAll="0" dataSourceSort="1" defaultAttributeDrillState="1">
      <items count="2">
        <item s="1" x="0"/>
        <item t="default"/>
      </items>
    </pivotField>
    <pivotField axis="axisRow" allDrilled="1" showAll="0" dataSourceSort="1" defaultAttributeDrillState="1">
      <items count="3">
        <item x="0"/>
        <item x="1"/>
        <item t="default"/>
      </items>
    </pivotField>
    <pivotField allDrilled="1" showAll="0" dataSourceSort="1" defaultAttributeDrillState="1"/>
    <pivotField allDrilled="1" showAll="0" dataSourceSort="1" defaultAttributeDrillState="1"/>
  </pivotFields>
  <rowFields count="1">
    <field x="2"/>
  </rowFields>
  <rowItems count="3">
    <i>
      <x/>
    </i>
    <i>
      <x v="1"/>
    </i>
    <i t="grand">
      <x/>
    </i>
  </rowItems>
  <colFields count="1">
    <field x="1"/>
  </colFields>
  <colItems count="1">
    <i>
      <x/>
    </i>
  </colItems>
  <dataFields count="1">
    <dataField name="Total Sales" fld="0" baseField="0" baseItem="0" numFmtId="165"/>
  </dataFields>
  <formats count="7">
    <format dxfId="19">
      <pivotArea type="all" dataOnly="0" outline="0" fieldPosition="0"/>
    </format>
    <format dxfId="18">
      <pivotArea outline="0" collapsedLevelsAreSubtotals="1" fieldPosition="0"/>
    </format>
    <format dxfId="17">
      <pivotArea type="origin" dataOnly="0" labelOnly="1" outline="0" fieldPosition="0"/>
    </format>
    <format dxfId="16">
      <pivotArea dataOnly="0" labelOnly="1" grandRow="1" outline="0" fieldPosition="0"/>
    </format>
    <format dxfId="15">
      <pivotArea dataOnly="0" labelOnly="1" fieldPosition="0">
        <references count="1">
          <reference field="1" count="0"/>
        </references>
      </pivotArea>
    </format>
    <format dxfId="14">
      <pivotArea dataOnly="0" labelOnly="1" fieldPosition="0">
        <references count="1">
          <reference field="1" count="0"/>
        </references>
      </pivotArea>
    </format>
    <format dxfId="13">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7.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9">
  <location ref="K9:L15" firstHeaderRow="1" firstDataRow="2" firstDataCol="1"/>
  <pivotFields count="4">
    <pivotField axis="axisCol" allDrilled="1" showAll="0" dataSourceSort="1" defaultAttributeDrillState="1">
      <items count="3">
        <item s="1" x="0"/>
        <item x="1"/>
        <item t="default"/>
      </items>
    </pivotField>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1"/>
  </rowFields>
  <rowItems count="5">
    <i>
      <x/>
    </i>
    <i>
      <x v="1"/>
    </i>
    <i>
      <x v="2"/>
    </i>
    <i>
      <x v="3"/>
    </i>
    <i t="grand">
      <x/>
    </i>
  </rowItems>
  <colFields count="1">
    <field x="0"/>
  </colFields>
  <colItems count="1">
    <i>
      <x/>
    </i>
  </colItems>
  <dataFields count="1">
    <dataField name="Product Profit" fld="2" baseField="0" baseItem="0" numFmtId="165"/>
  </dataFields>
  <formats count="2">
    <format dxfId="21">
      <pivotArea outline="0" collapsedLevelsAreSubtotals="1" fieldPosition="0"/>
    </format>
    <format dxfId="20">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8" format="3"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Product Profit"/>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8.xml><?xml version="1.0" encoding="utf-8"?>
<pivotTableDefinition xmlns="http://schemas.openxmlformats.org/spreadsheetml/2006/main" name="PivotTable9" cacheId="7"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20">
  <location ref="H3:H4" firstHeaderRow="1" firstDataRow="1" firstDataCol="0"/>
  <pivotFields count="4">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Total Sales" fld="0" baseField="0" baseItem="0" numFmtId="166"/>
  </dataFields>
  <formats count="1">
    <format dxfId="22">
      <pivotArea outline="0" collapsedLevelsAreSubtotals="1" fieldPosition="0"/>
    </format>
  </formats>
  <pivotHierarchies count="20">
    <pivotHierarchy dragToData="1"/>
    <pivotHierarchy dragToData="1"/>
    <pivotHierarchy multipleItemSelectionAllowed="1" dragToData="1">
      <members count="1" level="1">
        <member name="[Range].[Year].&amp;[2025]"/>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9.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20">
  <location ref="H9:I15" firstHeaderRow="1" firstDataRow="2" firstDataCol="1"/>
  <pivotFields count="5">
    <pivotField dataField="1" showAll="0"/>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 allDrilled="1" showAll="0" dataSourceSort="1" defaultAttributeDrillState="1"/>
    <pivotField allDrilled="1" showAll="0" dataSourceSort="1" defaultAttributeDrillState="1"/>
  </pivotFields>
  <rowFields count="1">
    <field x="2"/>
  </rowFields>
  <rowItems count="5">
    <i>
      <x/>
    </i>
    <i>
      <x v="1"/>
    </i>
    <i>
      <x v="2"/>
    </i>
    <i>
      <x v="3"/>
    </i>
    <i t="grand">
      <x/>
    </i>
  </rowItems>
  <colFields count="1">
    <field x="1"/>
  </colFields>
  <colItems count="1">
    <i>
      <x/>
    </i>
  </colItems>
  <dataFields count="1">
    <dataField name="Total Sales" fld="0" baseField="0" baseItem="0" numFmtId="165"/>
  </dataFields>
  <formats count="2">
    <format dxfId="24">
      <pivotArea outline="0" collapsedLevelsAreSubtotals="1" fieldPosition="0"/>
    </format>
    <format dxfId="23">
      <pivotArea outline="0" collapsedLevelsAreSubtotals="1" fieldPosition="0"/>
    </format>
  </formats>
  <chartFormats count="1">
    <chartFormat chart="19" format="5"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30">
  <location ref="E9:F15" firstHeaderRow="1" firstDataRow="2" firstDataCol="1"/>
  <pivotFields count="4">
    <pivotField dataField="1" showAll="0"/>
    <pivotField axis="axisCol" allDrilled="1" showAll="0" dataSourceSort="1" defaultAttributeDrillState="1">
      <items count="3">
        <item s="1" x="0"/>
        <item x="1"/>
        <item t="default"/>
      </items>
    </pivotField>
    <pivotField axis="axisRow" allDrilled="1" showAll="0" dataSourceSort="1" defaultAttributeDrillState="1">
      <items count="5">
        <item x="0"/>
        <item x="1"/>
        <item x="2"/>
        <item x="3"/>
        <item t="default"/>
      </items>
    </pivotField>
    <pivotField allDrilled="1" showAll="0" dataSourceSort="1" defaultAttributeDrillState="1"/>
  </pivotFields>
  <rowFields count="1">
    <field x="2"/>
  </rowFields>
  <rowItems count="5">
    <i>
      <x/>
    </i>
    <i>
      <x v="1"/>
    </i>
    <i>
      <x v="2"/>
    </i>
    <i>
      <x v="3"/>
    </i>
    <i t="grand">
      <x/>
    </i>
  </rowItems>
  <colFields count="1">
    <field x="1"/>
  </colFields>
  <colItems count="1">
    <i>
      <x/>
    </i>
  </colItems>
  <dataFields count="1">
    <dataField name="Total Sales" fld="0" baseField="0" baseItem="0" numFmtId="165"/>
  </dataFields>
  <formats count="8">
    <format dxfId="32">
      <pivotArea type="all" dataOnly="0" outline="0" fieldPosition="0"/>
    </format>
    <format dxfId="31">
      <pivotArea outline="0" collapsedLevelsAreSubtotals="1" fieldPosition="0"/>
    </format>
    <format dxfId="30">
      <pivotArea type="origin" dataOnly="0" labelOnly="1" outline="0" fieldPosition="0"/>
    </format>
    <format dxfId="29">
      <pivotArea dataOnly="0" labelOnly="1" fieldPosition="0">
        <references count="1">
          <reference field="2" count="0"/>
        </references>
      </pivotArea>
    </format>
    <format dxfId="28">
      <pivotArea dataOnly="0" labelOnly="1" grandRow="1" outline="0" fieldPosition="0"/>
    </format>
    <format dxfId="27">
      <pivotArea dataOnly="0" labelOnly="1" fieldPosition="0">
        <references count="1">
          <reference field="1" count="0"/>
        </references>
      </pivotArea>
    </format>
    <format dxfId="26">
      <pivotArea dataOnly="0" labelOnly="1" fieldPosition="0">
        <references count="1">
          <reference field="1" count="0"/>
        </references>
      </pivotArea>
    </format>
    <format dxfId="25">
      <pivotArea outline="0" collapsedLevelsAreSubtotals="1" fieldPosition="0"/>
    </format>
  </formats>
  <chartFormats count="2">
    <chartFormat chart="29" format="3" series="1">
      <pivotArea type="data" outline="0" fieldPosition="0">
        <references count="1">
          <reference field="4294967294" count="1" selected="0">
            <x v="0"/>
          </reference>
        </references>
      </pivotArea>
    </chartFormat>
    <chartFormat chart="29" format="4" series="1">
      <pivotArea type="data" outline="0" fieldPosition="0">
        <references count="2">
          <reference field="4294967294" count="1" selected="0">
            <x v="0"/>
          </reference>
          <reference field="1" count="1" selected="0">
            <x v="1"/>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Range].[Year]">
  <pivotTables>
    <pivotTable tabId="2" name="PivotTable1"/>
    <pivotTable tabId="2" name="PivotTable3"/>
    <pivotTable tabId="2" name="PivotTable2"/>
    <pivotTable tabId="2" name="PivotTable4"/>
    <pivotTable tabId="2" name="PivotTable5"/>
    <pivotTable tabId="2" name="PivotTable6"/>
    <pivotTable tabId="2" name="PivotTable7"/>
    <pivotTable tabId="2" name="PivotTable8"/>
    <pivotTable tabId="2" name="PivotTable9"/>
    <pivotTable tabId="2" name="PivotTable10"/>
  </pivotTables>
  <data>
    <olap pivotCacheId="6">
      <levels count="2">
        <level uniqueName="[Range].[Year].[(All)]" sourceCaption="(All)" count="0"/>
        <level uniqueName="[Range].[Year].[Year]" sourceCaption="Year" count="2">
          <ranges>
            <range startItem="0">
              <i n="[Range].[Year].&amp;[2024]" c="2024"/>
              <i n="[Range].[Year].&amp;[2025]" c="2025"/>
            </range>
          </ranges>
        </level>
      </levels>
      <selections count="1">
        <selection n="[Range].[Year].&amp;[2025]"/>
      </selections>
    </olap>
  </data>
  <extLst>
    <x:ext xmlns:x15="http://schemas.microsoft.com/office/spreadsheetml/2010/11/main" uri="{470722E0-AACD-4C17-9CDC-17EF765DBC7E}">
      <x15:slicerCacheHideItemsWithNoData count="1">
        <x15:slicerCacheOlapLevelName uniqueName="[Range].[Year].[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Range].[Product]">
  <pivotTables>
    <pivotTable tabId="2" name="PivotTable2"/>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 tabId="2" name="PivotTable1"/>
  </pivotTables>
  <data>
    <olap pivotCacheId="6">
      <levels count="2">
        <level uniqueName="[Range].[Product].[(All)]" sourceCaption="(All)" count="0"/>
        <level uniqueName="[Range].[Product].[Product]" sourceCaption="Product" count="4">
          <ranges>
            <range startItem="0">
              <i n="[Range].[Product].&amp;[Flour]" c="Flour"/>
              <i n="[Range].[Product].&amp;[Pasta]" c="Pasta"/>
              <i n="[Range].[Product].&amp;[Rice]" c="Rice"/>
              <i n="[Range].[Product].&amp;[Sugar]" c="Sugar"/>
            </range>
          </ranges>
        </level>
      </levels>
      <selections count="1">
        <selection n="[Range].[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ange].[Region]">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olap pivotCacheId="6">
      <levels count="2">
        <level uniqueName="[Range].[Region].[(All)]" sourceCaption="(All)" count="0"/>
        <level uniqueName="[Range].[Region].[Region]" sourceCaption="Region" count="4">
          <ranges>
            <range startItem="0">
              <i n="[Range].[Region].&amp;[North-Central]" c="North-Central"/>
              <i n="[Range].[Region].&amp;[North-West]" c="North-West"/>
              <i n="[Range].[Region].&amp;[South-South]" c="South-South"/>
              <i n="[Range].[Region].&amp;[South-West]" c="South-West"/>
            </range>
          </ranges>
        </level>
      </levels>
      <selections count="1">
        <selection n="[Range].[Region].[All]"/>
      </selections>
    </olap>
  </data>
  <extLst>
    <x:ext xmlns:x15="http://schemas.microsoft.com/office/spreadsheetml/2010/11/main" uri="{470722E0-AACD-4C17-9CDC-17EF765DBC7E}">
      <x15:slicerCacheHideItemsWithNoData count="1">
        <x15:slicerCacheOlapLevelName uniqueName="[Range].[Region].[Reg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2" level="1" style="SlicerStyleLight5" rowHeight="468000"/>
  <slicer name="Product" cache="Slicer_Product" caption="Product" columnCount="2" level="1" style="SlicerStyleLight5" rowHeight="504000"/>
  <slicer name="Region" cache="Slicer_Region" caption="Region" level="1" style="SlicerStyleLight5" rowHeight="540000"/>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9"/>
  <sheetViews>
    <sheetView tabSelected="1" topLeftCell="C1" zoomScale="89" zoomScaleNormal="89" workbookViewId="0">
      <selection activeCell="E3" sqref="E3"/>
    </sheetView>
  </sheetViews>
  <sheetFormatPr defaultRowHeight="16.5" x14ac:dyDescent="0.3"/>
  <cols>
    <col min="2" max="2" width="11.375" customWidth="1"/>
    <col min="3" max="3" width="21" customWidth="1"/>
    <col min="4" max="4" width="10.375" customWidth="1"/>
    <col min="5" max="5" width="12.625" customWidth="1"/>
    <col min="6" max="6" width="21" customWidth="1"/>
    <col min="7" max="7" width="20.375" customWidth="1"/>
    <col min="8" max="8" width="18.5" customWidth="1"/>
    <col min="9" max="10" width="20.375" customWidth="1"/>
    <col min="11" max="11" width="13.625" customWidth="1"/>
    <col min="12" max="12" width="25.125" customWidth="1"/>
    <col min="13" max="13" width="18.5" customWidth="1"/>
    <col min="14" max="14" width="25" customWidth="1"/>
  </cols>
  <sheetData>
    <row r="2" spans="2:13" x14ac:dyDescent="0.3">
      <c r="L2" t="s">
        <v>61</v>
      </c>
    </row>
    <row r="3" spans="2:13" x14ac:dyDescent="0.3">
      <c r="H3" t="s">
        <v>17</v>
      </c>
      <c r="L3" s="5">
        <v>672159994700.62976</v>
      </c>
      <c r="M3" s="5">
        <f>GETPIVOTDATA("[Measures].[Sum of Total Product Profit]",$L$2)</f>
        <v>672159994700.62976</v>
      </c>
    </row>
    <row r="4" spans="2:13" x14ac:dyDescent="0.3">
      <c r="H4" s="31">
        <v>1800006285000</v>
      </c>
      <c r="I4" s="5">
        <f>GETPIVOTDATA("[Measures].[Sum of Total Sales]",$H$3)</f>
        <v>1800006285000</v>
      </c>
      <c r="J4" s="35">
        <v>274830000000</v>
      </c>
    </row>
    <row r="5" spans="2:13" x14ac:dyDescent="0.3">
      <c r="I5" s="31"/>
      <c r="J5" s="36">
        <v>164430000000</v>
      </c>
    </row>
    <row r="6" spans="2:13" x14ac:dyDescent="0.3">
      <c r="I6" s="31"/>
    </row>
    <row r="9" spans="2:13" x14ac:dyDescent="0.3">
      <c r="B9" s="28" t="s">
        <v>17</v>
      </c>
      <c r="E9" s="33" t="s">
        <v>17</v>
      </c>
      <c r="F9" s="31"/>
      <c r="H9" s="28" t="s">
        <v>17</v>
      </c>
      <c r="K9" s="28" t="s">
        <v>61</v>
      </c>
    </row>
    <row r="10" spans="2:13" x14ac:dyDescent="0.3">
      <c r="C10" s="30">
        <v>2025</v>
      </c>
      <c r="E10" s="31"/>
      <c r="F10" s="30">
        <v>2025</v>
      </c>
      <c r="I10">
        <v>2025</v>
      </c>
      <c r="L10">
        <v>2025</v>
      </c>
    </row>
    <row r="11" spans="2:13" x14ac:dyDescent="0.3">
      <c r="B11" s="29" t="s">
        <v>4</v>
      </c>
      <c r="C11" s="5">
        <v>743385040000</v>
      </c>
      <c r="E11" s="34" t="s">
        <v>10</v>
      </c>
      <c r="F11" s="5">
        <v>459810067500</v>
      </c>
      <c r="H11" s="29" t="s">
        <v>20</v>
      </c>
      <c r="I11" s="5">
        <v>442001177500</v>
      </c>
      <c r="K11" s="29" t="s">
        <v>4</v>
      </c>
      <c r="L11" s="5">
        <v>319924665150.62946</v>
      </c>
    </row>
    <row r="12" spans="2:13" x14ac:dyDescent="0.3">
      <c r="B12" s="29" t="s">
        <v>5</v>
      </c>
      <c r="C12" s="5">
        <v>201996750000</v>
      </c>
      <c r="E12" s="34" t="s">
        <v>9</v>
      </c>
      <c r="F12" s="5">
        <v>449463750000</v>
      </c>
      <c r="H12" s="29" t="s">
        <v>21</v>
      </c>
      <c r="I12" s="5">
        <v>466208660000</v>
      </c>
      <c r="K12" s="29" t="s">
        <v>5</v>
      </c>
      <c r="L12" s="5">
        <v>70698862500</v>
      </c>
    </row>
    <row r="13" spans="2:13" x14ac:dyDescent="0.3">
      <c r="B13" s="29" t="s">
        <v>2</v>
      </c>
      <c r="C13" s="5">
        <v>97923260000</v>
      </c>
      <c r="E13" s="34" t="s">
        <v>8</v>
      </c>
      <c r="F13" s="5">
        <v>441423215000</v>
      </c>
      <c r="H13" s="29" t="s">
        <v>22</v>
      </c>
      <c r="I13" s="5">
        <v>631894052500</v>
      </c>
      <c r="K13" s="29" t="s">
        <v>2</v>
      </c>
      <c r="L13" s="5">
        <v>31825059500</v>
      </c>
    </row>
    <row r="14" spans="2:13" x14ac:dyDescent="0.3">
      <c r="B14" s="29" t="s">
        <v>3</v>
      </c>
      <c r="C14" s="5">
        <v>756701235000</v>
      </c>
      <c r="E14" s="34" t="s">
        <v>7</v>
      </c>
      <c r="F14" s="5">
        <v>449309252500</v>
      </c>
      <c r="H14" s="29" t="s">
        <v>23</v>
      </c>
      <c r="I14" s="5">
        <v>259902395000</v>
      </c>
      <c r="K14" s="29" t="s">
        <v>3</v>
      </c>
      <c r="L14" s="5">
        <v>249711407550</v>
      </c>
    </row>
    <row r="15" spans="2:13" x14ac:dyDescent="0.3">
      <c r="B15" s="29" t="s">
        <v>60</v>
      </c>
      <c r="C15" s="5">
        <v>1800006285000</v>
      </c>
      <c r="E15" s="34" t="s">
        <v>60</v>
      </c>
      <c r="F15" s="5">
        <v>1800006285000</v>
      </c>
      <c r="H15" s="29" t="s">
        <v>60</v>
      </c>
      <c r="I15" s="5">
        <v>1800006285000</v>
      </c>
      <c r="K15" s="29" t="s">
        <v>60</v>
      </c>
      <c r="L15" s="5">
        <v>672159994700.62976</v>
      </c>
    </row>
    <row r="17" spans="2:12" x14ac:dyDescent="0.3">
      <c r="E17" s="33" t="s">
        <v>17</v>
      </c>
      <c r="F17" s="31"/>
      <c r="H17" s="28" t="s">
        <v>17</v>
      </c>
      <c r="K17" s="28" t="s">
        <v>61</v>
      </c>
    </row>
    <row r="18" spans="2:12" x14ac:dyDescent="0.3">
      <c r="E18" s="31"/>
      <c r="F18" s="30">
        <v>2025</v>
      </c>
      <c r="I18">
        <v>2025</v>
      </c>
      <c r="L18">
        <v>2025</v>
      </c>
    </row>
    <row r="19" spans="2:12" x14ac:dyDescent="0.3">
      <c r="E19" s="34" t="s">
        <v>16</v>
      </c>
      <c r="F19" s="5">
        <v>743385040000</v>
      </c>
      <c r="H19" s="29" t="s">
        <v>20</v>
      </c>
      <c r="I19" s="31">
        <v>442001177500</v>
      </c>
      <c r="K19" s="29" t="s">
        <v>20</v>
      </c>
      <c r="L19" s="31">
        <v>164309435944.89841</v>
      </c>
    </row>
    <row r="20" spans="2:12" x14ac:dyDescent="0.3">
      <c r="E20" s="34" t="s">
        <v>15</v>
      </c>
      <c r="F20" s="5">
        <v>1056621245000</v>
      </c>
      <c r="H20" s="32" t="s">
        <v>4</v>
      </c>
      <c r="I20" s="31">
        <v>176202160000</v>
      </c>
      <c r="K20" s="32" t="s">
        <v>4</v>
      </c>
      <c r="L20" s="31">
        <v>75830712219.898376</v>
      </c>
    </row>
    <row r="21" spans="2:12" x14ac:dyDescent="0.3">
      <c r="E21" s="34" t="s">
        <v>60</v>
      </c>
      <c r="F21" s="5">
        <v>1800006285000</v>
      </c>
      <c r="H21" s="32" t="s">
        <v>5</v>
      </c>
      <c r="I21" s="31">
        <v>41500200000</v>
      </c>
      <c r="K21" s="32" t="s">
        <v>5</v>
      </c>
      <c r="L21" s="31">
        <v>14525070000</v>
      </c>
    </row>
    <row r="22" spans="2:12" x14ac:dyDescent="0.3">
      <c r="H22" s="32" t="s">
        <v>2</v>
      </c>
      <c r="I22" s="31">
        <v>12991210000</v>
      </c>
      <c r="K22" s="32" t="s">
        <v>2</v>
      </c>
      <c r="L22" s="31">
        <v>4222143250</v>
      </c>
    </row>
    <row r="23" spans="2:12" x14ac:dyDescent="0.3">
      <c r="H23" s="32" t="s">
        <v>3</v>
      </c>
      <c r="I23" s="31">
        <v>211307607500</v>
      </c>
      <c r="K23" s="32" t="s">
        <v>3</v>
      </c>
      <c r="L23" s="31">
        <v>69731510475</v>
      </c>
    </row>
    <row r="24" spans="2:12" x14ac:dyDescent="0.3">
      <c r="H24" s="29" t="s">
        <v>21</v>
      </c>
      <c r="I24" s="31">
        <v>466208660000</v>
      </c>
      <c r="K24" s="29" t="s">
        <v>21</v>
      </c>
      <c r="L24" s="31">
        <v>174742249940.2616</v>
      </c>
    </row>
    <row r="25" spans="2:12" x14ac:dyDescent="0.3">
      <c r="H25" s="32" t="s">
        <v>4</v>
      </c>
      <c r="I25" s="31">
        <v>198581840000</v>
      </c>
      <c r="K25" s="32" t="s">
        <v>4</v>
      </c>
      <c r="L25" s="31">
        <v>85462075840.261597</v>
      </c>
    </row>
    <row r="26" spans="2:12" x14ac:dyDescent="0.3">
      <c r="H26" s="32" t="s">
        <v>5</v>
      </c>
      <c r="I26" s="31">
        <v>54698100000</v>
      </c>
      <c r="K26" s="32" t="s">
        <v>5</v>
      </c>
      <c r="L26" s="31">
        <v>19144335000</v>
      </c>
    </row>
    <row r="27" spans="2:12" x14ac:dyDescent="0.3">
      <c r="B27" s="28" t="s">
        <v>62</v>
      </c>
      <c r="H27" s="32" t="s">
        <v>2</v>
      </c>
      <c r="I27" s="31">
        <v>26127700000</v>
      </c>
      <c r="K27" s="32" t="s">
        <v>2</v>
      </c>
      <c r="L27" s="31">
        <v>8491502500</v>
      </c>
    </row>
    <row r="28" spans="2:12" x14ac:dyDescent="0.3">
      <c r="C28" s="30">
        <v>2025</v>
      </c>
      <c r="H28" s="32" t="s">
        <v>3</v>
      </c>
      <c r="I28" s="31">
        <v>186801020000</v>
      </c>
      <c r="K28" s="32" t="s">
        <v>3</v>
      </c>
      <c r="L28" s="31">
        <v>61644336600</v>
      </c>
    </row>
    <row r="29" spans="2:12" x14ac:dyDescent="0.3">
      <c r="B29" s="29" t="s">
        <v>4</v>
      </c>
      <c r="C29" s="4">
        <v>15233300</v>
      </c>
      <c r="H29" s="29" t="s">
        <v>22</v>
      </c>
      <c r="I29" s="31">
        <v>631894052500</v>
      </c>
      <c r="K29" s="29" t="s">
        <v>22</v>
      </c>
      <c r="L29" s="31">
        <v>230836202988.04083</v>
      </c>
    </row>
    <row r="30" spans="2:12" x14ac:dyDescent="0.3">
      <c r="B30" s="29" t="s">
        <v>5</v>
      </c>
      <c r="C30" s="4">
        <v>16422500</v>
      </c>
      <c r="H30" s="32" t="s">
        <v>4</v>
      </c>
      <c r="I30" s="31">
        <v>213299920000</v>
      </c>
      <c r="K30" s="32" t="s">
        <v>4</v>
      </c>
      <c r="L30" s="31">
        <v>91796178038.040787</v>
      </c>
    </row>
    <row r="31" spans="2:12" x14ac:dyDescent="0.3">
      <c r="B31" s="29" t="s">
        <v>2</v>
      </c>
      <c r="C31" s="4">
        <v>1725520</v>
      </c>
      <c r="H31" s="32" t="s">
        <v>5</v>
      </c>
      <c r="I31" s="31">
        <v>53598480000</v>
      </c>
      <c r="K31" s="32" t="s">
        <v>5</v>
      </c>
      <c r="L31" s="31">
        <v>18759468000</v>
      </c>
    </row>
    <row r="32" spans="2:12" x14ac:dyDescent="0.3">
      <c r="B32" s="29" t="s">
        <v>3</v>
      </c>
      <c r="C32" s="4">
        <v>13871700</v>
      </c>
      <c r="H32" s="32" t="s">
        <v>2</v>
      </c>
      <c r="I32" s="31">
        <v>33601675000</v>
      </c>
      <c r="K32" s="32" t="s">
        <v>2</v>
      </c>
      <c r="L32" s="31">
        <v>10920544375</v>
      </c>
    </row>
    <row r="33" spans="8:12" x14ac:dyDescent="0.3">
      <c r="H33" s="32" t="s">
        <v>3</v>
      </c>
      <c r="I33" s="31">
        <v>331393977500</v>
      </c>
      <c r="K33" s="32" t="s">
        <v>3</v>
      </c>
      <c r="L33" s="31">
        <v>109360012575</v>
      </c>
    </row>
    <row r="34" spans="8:12" x14ac:dyDescent="0.3">
      <c r="H34" s="29" t="s">
        <v>23</v>
      </c>
      <c r="I34" s="31">
        <v>259902395000</v>
      </c>
      <c r="K34" s="29" t="s">
        <v>23</v>
      </c>
      <c r="L34" s="31">
        <v>102272105827.4288</v>
      </c>
    </row>
    <row r="35" spans="8:12" x14ac:dyDescent="0.3">
      <c r="H35" s="32" t="s">
        <v>4</v>
      </c>
      <c r="I35" s="31">
        <v>155301120000</v>
      </c>
      <c r="K35" s="32" t="s">
        <v>4</v>
      </c>
      <c r="L35" s="31">
        <v>66835699052.428802</v>
      </c>
    </row>
    <row r="36" spans="8:12" x14ac:dyDescent="0.3">
      <c r="H36" s="32" t="s">
        <v>5</v>
      </c>
      <c r="I36" s="31">
        <v>52199970000</v>
      </c>
      <c r="K36" s="32" t="s">
        <v>5</v>
      </c>
      <c r="L36" s="31">
        <v>18269989500</v>
      </c>
    </row>
    <row r="37" spans="8:12" x14ac:dyDescent="0.3">
      <c r="H37" s="32" t="s">
        <v>2</v>
      </c>
      <c r="I37" s="31">
        <v>25202675000</v>
      </c>
      <c r="K37" s="32" t="s">
        <v>2</v>
      </c>
      <c r="L37" s="31">
        <v>8190869375</v>
      </c>
    </row>
    <row r="38" spans="8:12" x14ac:dyDescent="0.3">
      <c r="H38" s="32" t="s">
        <v>3</v>
      </c>
      <c r="I38" s="31">
        <v>27198630000</v>
      </c>
      <c r="K38" s="32" t="s">
        <v>3</v>
      </c>
      <c r="L38" s="31">
        <v>8975547900</v>
      </c>
    </row>
    <row r="39" spans="8:12" x14ac:dyDescent="0.3">
      <c r="H39" s="29" t="s">
        <v>60</v>
      </c>
      <c r="I39" s="31">
        <v>1800006285000</v>
      </c>
      <c r="K39" s="29" t="s">
        <v>60</v>
      </c>
      <c r="L39" s="31">
        <v>672159994700.62976</v>
      </c>
    </row>
  </sheetData>
  <pageMargins left="0.7" right="0.7" top="0.75" bottom="0.75" header="0.3" footer="0.3"/>
  <pageSetup orientation="portrait" horizontalDpi="300" verticalDpi="0"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46" zoomScaleNormal="46" workbookViewId="0">
      <selection activeCell="AM12" sqref="AM12"/>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6"/>
  <sheetViews>
    <sheetView topLeftCell="L356" zoomScale="73" zoomScaleNormal="73" workbookViewId="0">
      <selection activeCell="K195" sqref="K195:K386"/>
    </sheetView>
  </sheetViews>
  <sheetFormatPr defaultRowHeight="16.5" x14ac:dyDescent="0.3"/>
  <cols>
    <col min="1" max="1" width="15.75" customWidth="1"/>
    <col min="2" max="2" width="12.5" style="7" customWidth="1"/>
    <col min="3" max="3" width="12.5" style="25" customWidth="1"/>
    <col min="4" max="4" width="17.5" customWidth="1"/>
    <col min="5" max="5" width="11.5" customWidth="1"/>
    <col min="6" max="6" width="20.875" customWidth="1"/>
    <col min="7" max="7" width="14" customWidth="1"/>
    <col min="8" max="8" width="15.375" customWidth="1"/>
    <col min="9" max="9" width="23.375" customWidth="1"/>
    <col min="10" max="10" width="17.25" customWidth="1"/>
    <col min="11" max="11" width="18.875" customWidth="1"/>
    <col min="12" max="12" width="21.875" customWidth="1"/>
    <col min="13" max="13" width="24.625" customWidth="1"/>
    <col min="14" max="14" width="24" customWidth="1"/>
    <col min="15" max="15" width="25.75" style="7" customWidth="1"/>
    <col min="16" max="16" width="23.875" style="7" customWidth="1"/>
    <col min="17" max="17" width="30" style="7" customWidth="1"/>
    <col min="18" max="18" width="28.625" style="15" customWidth="1"/>
    <col min="19" max="19" width="22.875" style="7" customWidth="1"/>
    <col min="20" max="20" width="18.375" customWidth="1"/>
    <col min="21" max="21" width="21.25" customWidth="1"/>
    <col min="22" max="22" width="19.5" customWidth="1"/>
  </cols>
  <sheetData>
    <row r="1" spans="1:20" ht="28.5" x14ac:dyDescent="0.45">
      <c r="A1" s="1" t="s">
        <v>11</v>
      </c>
      <c r="B1" s="19"/>
      <c r="C1" s="23"/>
      <c r="D1" s="1"/>
    </row>
    <row r="2" spans="1:20" s="12" customFormat="1" x14ac:dyDescent="0.3">
      <c r="A2" s="20" t="s">
        <v>0</v>
      </c>
      <c r="B2" s="20" t="s">
        <v>51</v>
      </c>
      <c r="C2" s="24" t="s">
        <v>52</v>
      </c>
      <c r="D2" s="11" t="s">
        <v>6</v>
      </c>
      <c r="E2" s="11" t="s">
        <v>1</v>
      </c>
      <c r="F2" s="11" t="s">
        <v>14</v>
      </c>
      <c r="G2" s="20" t="s">
        <v>12</v>
      </c>
      <c r="H2" s="20" t="s">
        <v>13</v>
      </c>
      <c r="I2" s="20" t="s">
        <v>17</v>
      </c>
      <c r="J2" s="20" t="s">
        <v>19</v>
      </c>
      <c r="K2" s="20" t="s">
        <v>18</v>
      </c>
      <c r="L2" s="20" t="s">
        <v>37</v>
      </c>
      <c r="M2" s="20" t="s">
        <v>38</v>
      </c>
      <c r="N2" s="11" t="s">
        <v>63</v>
      </c>
      <c r="O2" s="20"/>
      <c r="P2" s="13"/>
      <c r="Q2" s="13"/>
      <c r="R2" s="16"/>
      <c r="S2" s="13"/>
    </row>
    <row r="3" spans="1:20" x14ac:dyDescent="0.3">
      <c r="A3" s="3">
        <v>45321</v>
      </c>
      <c r="B3" s="21" t="s">
        <v>39</v>
      </c>
      <c r="C3" s="25">
        <v>2024</v>
      </c>
      <c r="D3" s="3" t="s">
        <v>7</v>
      </c>
      <c r="E3" t="s">
        <v>2</v>
      </c>
      <c r="F3" t="s">
        <v>15</v>
      </c>
      <c r="G3" s="4">
        <v>1300</v>
      </c>
      <c r="H3" s="5">
        <v>56750</v>
      </c>
      <c r="I3" s="5">
        <f>H3*G3</f>
        <v>73775000</v>
      </c>
      <c r="J3" s="6" t="s">
        <v>20</v>
      </c>
      <c r="K3" s="6">
        <f>IF(E3="Flour",H3*0.6159113,IF(E3="Pasta",H3*0.65,IF(E3="Sugar",H3*0.67,IF(E3="Rice",H3*0.677))))</f>
        <v>38419.75</v>
      </c>
      <c r="L3" s="10">
        <f>H3-K3</f>
        <v>18330.25</v>
      </c>
      <c r="M3" s="10">
        <f>G3*L3</f>
        <v>23829325</v>
      </c>
      <c r="N3" s="10"/>
      <c r="O3" s="26"/>
      <c r="P3" s="14"/>
      <c r="Q3" s="14"/>
      <c r="R3" s="17"/>
      <c r="S3" s="14"/>
      <c r="T3" s="2"/>
    </row>
    <row r="4" spans="1:20" x14ac:dyDescent="0.3">
      <c r="A4" s="3">
        <v>45321</v>
      </c>
      <c r="B4" s="7" t="s">
        <v>39</v>
      </c>
      <c r="C4" s="25">
        <v>2024</v>
      </c>
      <c r="D4" s="3" t="s">
        <v>7</v>
      </c>
      <c r="E4" t="s">
        <v>3</v>
      </c>
      <c r="F4" t="s">
        <v>15</v>
      </c>
      <c r="G4" s="4">
        <v>390000</v>
      </c>
      <c r="H4" s="5">
        <v>54550</v>
      </c>
      <c r="I4" s="5">
        <f t="shared" ref="I4:I54" si="0">H4*G4</f>
        <v>21274500000</v>
      </c>
      <c r="J4" s="6" t="s">
        <v>20</v>
      </c>
      <c r="K4" s="6">
        <f t="shared" ref="K4:K67" si="1">IF(E4="Flour",H4*0.6159113,IF(E4="Pasta",H4*0.65,IF(E4="Sugar",H4*0.67,IF(E4="Rice",H4*0.677))))</f>
        <v>36548.5</v>
      </c>
      <c r="L4" s="10">
        <f t="shared" ref="L4:L67" si="2">H4-K4</f>
        <v>18001.5</v>
      </c>
      <c r="M4" s="10">
        <f>G4*L4</f>
        <v>7020585000</v>
      </c>
      <c r="N4" s="10"/>
      <c r="O4" s="26"/>
    </row>
    <row r="5" spans="1:20" x14ac:dyDescent="0.3">
      <c r="A5" s="3">
        <v>45321</v>
      </c>
      <c r="B5" s="21" t="s">
        <v>39</v>
      </c>
      <c r="C5" s="25">
        <v>2024</v>
      </c>
      <c r="D5" s="3" t="s">
        <v>7</v>
      </c>
      <c r="E5" t="s">
        <v>4</v>
      </c>
      <c r="F5" t="s">
        <v>16</v>
      </c>
      <c r="G5" s="4">
        <v>146000</v>
      </c>
      <c r="H5" s="5">
        <v>48800</v>
      </c>
      <c r="I5" s="5">
        <f t="shared" si="0"/>
        <v>7124800000</v>
      </c>
      <c r="J5" s="6" t="s">
        <v>20</v>
      </c>
      <c r="K5" s="6">
        <f t="shared" si="1"/>
        <v>30056.471440000001</v>
      </c>
      <c r="L5" s="10">
        <f t="shared" si="2"/>
        <v>18743.528559999999</v>
      </c>
      <c r="M5" s="10">
        <f t="shared" ref="M5:M12" si="3">G5*L5</f>
        <v>2736555169.7599998</v>
      </c>
      <c r="N5" s="10"/>
      <c r="O5" s="26"/>
    </row>
    <row r="6" spans="1:20" x14ac:dyDescent="0.3">
      <c r="A6" s="3">
        <v>45321</v>
      </c>
      <c r="B6" s="21" t="s">
        <v>39</v>
      </c>
      <c r="C6" s="25">
        <v>2024</v>
      </c>
      <c r="D6" s="3" t="s">
        <v>7</v>
      </c>
      <c r="E6" t="s">
        <v>5</v>
      </c>
      <c r="F6" t="s">
        <v>15</v>
      </c>
      <c r="G6" s="4">
        <v>265000</v>
      </c>
      <c r="H6" s="5">
        <v>12300</v>
      </c>
      <c r="I6" s="5">
        <f t="shared" si="0"/>
        <v>3259500000</v>
      </c>
      <c r="J6" s="6" t="s">
        <v>20</v>
      </c>
      <c r="K6" s="6">
        <f t="shared" si="1"/>
        <v>7995</v>
      </c>
      <c r="L6" s="10">
        <f t="shared" si="2"/>
        <v>4305</v>
      </c>
      <c r="M6" s="10">
        <f t="shared" si="3"/>
        <v>1140825000</v>
      </c>
      <c r="N6" s="10"/>
      <c r="O6" s="26"/>
    </row>
    <row r="7" spans="1:20" x14ac:dyDescent="0.3">
      <c r="A7" s="3">
        <v>45321</v>
      </c>
      <c r="B7" s="21" t="s">
        <v>39</v>
      </c>
      <c r="C7" s="25">
        <v>2024</v>
      </c>
      <c r="D7" s="3" t="s">
        <v>8</v>
      </c>
      <c r="E7" t="s">
        <v>2</v>
      </c>
      <c r="F7" t="s">
        <v>15</v>
      </c>
      <c r="G7" s="4">
        <v>1300</v>
      </c>
      <c r="H7" s="5">
        <v>56750</v>
      </c>
      <c r="I7" s="5">
        <f t="shared" si="0"/>
        <v>73775000</v>
      </c>
      <c r="J7" s="6" t="s">
        <v>20</v>
      </c>
      <c r="K7" s="6">
        <f t="shared" si="1"/>
        <v>38419.75</v>
      </c>
      <c r="L7" s="10">
        <f t="shared" si="2"/>
        <v>18330.25</v>
      </c>
      <c r="M7" s="10">
        <f t="shared" si="3"/>
        <v>23829325</v>
      </c>
      <c r="N7" s="10"/>
      <c r="O7" s="26"/>
    </row>
    <row r="8" spans="1:20" x14ac:dyDescent="0.3">
      <c r="A8" s="3">
        <v>45321</v>
      </c>
      <c r="B8" s="21" t="s">
        <v>39</v>
      </c>
      <c r="C8" s="25">
        <v>2024</v>
      </c>
      <c r="D8" s="3" t="s">
        <v>8</v>
      </c>
      <c r="E8" t="s">
        <v>3</v>
      </c>
      <c r="F8" t="s">
        <v>15</v>
      </c>
      <c r="G8" s="4">
        <v>360000</v>
      </c>
      <c r="H8" s="5">
        <v>54550</v>
      </c>
      <c r="I8" s="5">
        <f t="shared" si="0"/>
        <v>19638000000</v>
      </c>
      <c r="J8" s="6" t="s">
        <v>20</v>
      </c>
      <c r="K8" s="6">
        <f t="shared" si="1"/>
        <v>36548.5</v>
      </c>
      <c r="L8" s="10">
        <f t="shared" si="2"/>
        <v>18001.5</v>
      </c>
      <c r="M8" s="10">
        <f t="shared" si="3"/>
        <v>6480540000</v>
      </c>
      <c r="N8" s="10"/>
      <c r="O8" s="26"/>
    </row>
    <row r="9" spans="1:20" x14ac:dyDescent="0.3">
      <c r="A9" s="3">
        <v>45321</v>
      </c>
      <c r="B9" s="21" t="s">
        <v>39</v>
      </c>
      <c r="C9" s="25">
        <v>2024</v>
      </c>
      <c r="D9" s="3" t="s">
        <v>8</v>
      </c>
      <c r="E9" t="s">
        <v>4</v>
      </c>
      <c r="F9" t="s">
        <v>16</v>
      </c>
      <c r="G9" s="4">
        <v>140000</v>
      </c>
      <c r="H9" s="5">
        <v>48800</v>
      </c>
      <c r="I9" s="5">
        <f t="shared" si="0"/>
        <v>6832000000</v>
      </c>
      <c r="J9" s="6" t="s">
        <v>20</v>
      </c>
      <c r="K9" s="6">
        <f t="shared" si="1"/>
        <v>30056.471440000001</v>
      </c>
      <c r="L9" s="10">
        <f t="shared" si="2"/>
        <v>18743.528559999999</v>
      </c>
      <c r="M9" s="10">
        <f t="shared" si="3"/>
        <v>2624093998.3999996</v>
      </c>
      <c r="N9" s="10"/>
      <c r="O9" s="26"/>
    </row>
    <row r="10" spans="1:20" x14ac:dyDescent="0.3">
      <c r="A10" s="3">
        <v>45321</v>
      </c>
      <c r="B10" s="21" t="s">
        <v>39</v>
      </c>
      <c r="C10" s="25">
        <v>2024</v>
      </c>
      <c r="D10" s="3" t="s">
        <v>8</v>
      </c>
      <c r="E10" t="s">
        <v>5</v>
      </c>
      <c r="F10" t="s">
        <v>15</v>
      </c>
      <c r="G10" s="4">
        <v>250000</v>
      </c>
      <c r="H10" s="5">
        <v>12300</v>
      </c>
      <c r="I10" s="5">
        <f t="shared" si="0"/>
        <v>3075000000</v>
      </c>
      <c r="J10" s="6" t="s">
        <v>20</v>
      </c>
      <c r="K10" s="6">
        <f t="shared" si="1"/>
        <v>7995</v>
      </c>
      <c r="L10" s="10">
        <f t="shared" si="2"/>
        <v>4305</v>
      </c>
      <c r="M10" s="10">
        <f t="shared" si="3"/>
        <v>1076250000</v>
      </c>
      <c r="N10" s="10"/>
      <c r="O10" s="26"/>
    </row>
    <row r="11" spans="1:20" x14ac:dyDescent="0.3">
      <c r="A11" s="3">
        <v>45321</v>
      </c>
      <c r="B11" s="21" t="s">
        <v>39</v>
      </c>
      <c r="C11" s="25">
        <v>2024</v>
      </c>
      <c r="D11" s="3" t="s">
        <v>9</v>
      </c>
      <c r="E11" t="s">
        <v>2</v>
      </c>
      <c r="F11" t="s">
        <v>15</v>
      </c>
      <c r="G11" s="4">
        <v>1180</v>
      </c>
      <c r="H11" s="5">
        <v>56750</v>
      </c>
      <c r="I11" s="5">
        <f t="shared" si="0"/>
        <v>66965000</v>
      </c>
      <c r="J11" s="6" t="s">
        <v>20</v>
      </c>
      <c r="K11" s="6">
        <f t="shared" si="1"/>
        <v>38419.75</v>
      </c>
      <c r="L11" s="10">
        <f t="shared" si="2"/>
        <v>18330.25</v>
      </c>
      <c r="M11" s="10">
        <f t="shared" si="3"/>
        <v>21629695</v>
      </c>
      <c r="N11" s="10"/>
      <c r="O11" s="26"/>
    </row>
    <row r="12" spans="1:20" x14ac:dyDescent="0.3">
      <c r="A12" s="3">
        <v>45321</v>
      </c>
      <c r="B12" s="21" t="s">
        <v>39</v>
      </c>
      <c r="C12" s="25">
        <v>2024</v>
      </c>
      <c r="D12" s="3" t="s">
        <v>9</v>
      </c>
      <c r="E12" t="s">
        <v>3</v>
      </c>
      <c r="F12" t="s">
        <v>15</v>
      </c>
      <c r="G12" s="4">
        <v>368000</v>
      </c>
      <c r="H12" s="5">
        <v>54550</v>
      </c>
      <c r="I12" s="5">
        <f>H12*G12</f>
        <v>20074400000</v>
      </c>
      <c r="J12" s="6" t="s">
        <v>20</v>
      </c>
      <c r="K12" s="6">
        <f t="shared" si="1"/>
        <v>36548.5</v>
      </c>
      <c r="L12" s="10">
        <f t="shared" si="2"/>
        <v>18001.5</v>
      </c>
      <c r="M12" s="10">
        <f t="shared" si="3"/>
        <v>6624552000</v>
      </c>
      <c r="N12" s="10"/>
      <c r="O12" s="26"/>
    </row>
    <row r="13" spans="1:20" x14ac:dyDescent="0.3">
      <c r="A13" s="3">
        <v>45321</v>
      </c>
      <c r="B13" s="21" t="s">
        <v>39</v>
      </c>
      <c r="C13" s="25">
        <v>2024</v>
      </c>
      <c r="D13" s="3" t="s">
        <v>9</v>
      </c>
      <c r="E13" t="s">
        <v>4</v>
      </c>
      <c r="F13" t="s">
        <v>16</v>
      </c>
      <c r="G13" s="4">
        <v>144000</v>
      </c>
      <c r="H13" s="5">
        <v>48800</v>
      </c>
      <c r="I13" s="5">
        <f t="shared" si="0"/>
        <v>7027200000</v>
      </c>
      <c r="J13" s="6" t="s">
        <v>20</v>
      </c>
      <c r="K13" s="6">
        <f t="shared" si="1"/>
        <v>30056.471440000001</v>
      </c>
      <c r="L13" s="10">
        <f t="shared" si="2"/>
        <v>18743.528559999999</v>
      </c>
      <c r="M13" s="10">
        <f t="shared" ref="M13:M67" si="4">G13*L13</f>
        <v>2699068112.6399999</v>
      </c>
      <c r="N13" s="10"/>
      <c r="O13" s="26"/>
    </row>
    <row r="14" spans="1:20" x14ac:dyDescent="0.3">
      <c r="A14" s="3">
        <v>45321</v>
      </c>
      <c r="B14" s="21" t="s">
        <v>39</v>
      </c>
      <c r="C14" s="25">
        <v>2024</v>
      </c>
      <c r="D14" s="3" t="s">
        <v>9</v>
      </c>
      <c r="E14" t="s">
        <v>5</v>
      </c>
      <c r="F14" t="s">
        <v>15</v>
      </c>
      <c r="G14" s="4">
        <v>254000</v>
      </c>
      <c r="H14" s="5">
        <v>12300</v>
      </c>
      <c r="I14" s="5">
        <f t="shared" si="0"/>
        <v>3124200000</v>
      </c>
      <c r="J14" s="6" t="s">
        <v>20</v>
      </c>
      <c r="K14" s="6">
        <f t="shared" si="1"/>
        <v>7995</v>
      </c>
      <c r="L14" s="10">
        <f t="shared" si="2"/>
        <v>4305</v>
      </c>
      <c r="M14" s="10">
        <f t="shared" si="4"/>
        <v>1093470000</v>
      </c>
      <c r="N14" s="10"/>
      <c r="O14" s="26"/>
    </row>
    <row r="15" spans="1:20" x14ac:dyDescent="0.3">
      <c r="A15" s="3">
        <v>45321</v>
      </c>
      <c r="B15" s="21" t="s">
        <v>39</v>
      </c>
      <c r="C15" s="25">
        <v>2024</v>
      </c>
      <c r="D15" s="3" t="s">
        <v>10</v>
      </c>
      <c r="E15" t="s">
        <v>2</v>
      </c>
      <c r="F15" t="s">
        <v>15</v>
      </c>
      <c r="G15" s="4">
        <v>1040</v>
      </c>
      <c r="H15" s="5">
        <v>56750</v>
      </c>
      <c r="I15" s="5">
        <f t="shared" si="0"/>
        <v>59020000</v>
      </c>
      <c r="J15" s="6" t="s">
        <v>20</v>
      </c>
      <c r="K15" s="6">
        <f t="shared" si="1"/>
        <v>38419.75</v>
      </c>
      <c r="L15" s="10">
        <f t="shared" si="2"/>
        <v>18330.25</v>
      </c>
      <c r="M15" s="10">
        <f t="shared" si="4"/>
        <v>19063460</v>
      </c>
      <c r="N15" s="10"/>
      <c r="O15" s="26"/>
    </row>
    <row r="16" spans="1:20" x14ac:dyDescent="0.3">
      <c r="A16" s="3">
        <v>45321</v>
      </c>
      <c r="B16" s="21" t="s">
        <v>39</v>
      </c>
      <c r="C16" s="25">
        <v>2024</v>
      </c>
      <c r="D16" s="3" t="s">
        <v>10</v>
      </c>
      <c r="E16" t="s">
        <v>3</v>
      </c>
      <c r="F16" t="s">
        <v>15</v>
      </c>
      <c r="G16" s="4">
        <v>359000</v>
      </c>
      <c r="H16" s="5">
        <v>54550</v>
      </c>
      <c r="I16" s="5">
        <f>H16*G16</f>
        <v>19583450000</v>
      </c>
      <c r="J16" s="6" t="s">
        <v>20</v>
      </c>
      <c r="K16" s="6">
        <f t="shared" si="1"/>
        <v>36548.5</v>
      </c>
      <c r="L16" s="10">
        <f t="shared" si="2"/>
        <v>18001.5</v>
      </c>
      <c r="M16" s="10">
        <f t="shared" si="4"/>
        <v>6462538500</v>
      </c>
      <c r="N16" s="10"/>
      <c r="O16" s="26"/>
    </row>
    <row r="17" spans="1:21" x14ac:dyDescent="0.3">
      <c r="A17" s="3">
        <v>45321</v>
      </c>
      <c r="B17" s="21" t="s">
        <v>39</v>
      </c>
      <c r="C17" s="25">
        <v>2024</v>
      </c>
      <c r="D17" s="3" t="s">
        <v>10</v>
      </c>
      <c r="E17" t="s">
        <v>4</v>
      </c>
      <c r="F17" t="s">
        <v>16</v>
      </c>
      <c r="G17" s="4">
        <v>141000</v>
      </c>
      <c r="H17" s="5">
        <v>48800</v>
      </c>
      <c r="I17" s="5">
        <f t="shared" si="0"/>
        <v>6880800000</v>
      </c>
      <c r="J17" s="6" t="s">
        <v>20</v>
      </c>
      <c r="K17" s="6">
        <f t="shared" si="1"/>
        <v>30056.471440000001</v>
      </c>
      <c r="L17" s="10">
        <f t="shared" si="2"/>
        <v>18743.528559999999</v>
      </c>
      <c r="M17" s="10">
        <f t="shared" si="4"/>
        <v>2642837526.96</v>
      </c>
      <c r="N17" s="10"/>
      <c r="O17" s="26"/>
    </row>
    <row r="18" spans="1:21" x14ac:dyDescent="0.3">
      <c r="A18" s="3">
        <v>45321</v>
      </c>
      <c r="B18" s="21" t="s">
        <v>39</v>
      </c>
      <c r="C18" s="25">
        <v>2024</v>
      </c>
      <c r="D18" s="3" t="s">
        <v>10</v>
      </c>
      <c r="E18" t="s">
        <v>5</v>
      </c>
      <c r="F18" t="s">
        <v>15</v>
      </c>
      <c r="G18" s="4">
        <v>245000</v>
      </c>
      <c r="H18" s="5">
        <v>12300</v>
      </c>
      <c r="I18" s="5">
        <f t="shared" si="0"/>
        <v>3013500000</v>
      </c>
      <c r="J18" s="6" t="s">
        <v>20</v>
      </c>
      <c r="K18" s="6">
        <f t="shared" si="1"/>
        <v>7995</v>
      </c>
      <c r="L18" s="10">
        <f t="shared" si="2"/>
        <v>4305</v>
      </c>
      <c r="M18" s="10">
        <f t="shared" si="4"/>
        <v>1054725000</v>
      </c>
      <c r="N18" s="10"/>
      <c r="O18" s="26"/>
      <c r="T18" s="2"/>
      <c r="U18" s="5"/>
    </row>
    <row r="19" spans="1:21" x14ac:dyDescent="0.3">
      <c r="A19" s="3">
        <v>45351</v>
      </c>
      <c r="B19" s="22" t="s">
        <v>40</v>
      </c>
      <c r="C19" s="25">
        <v>2024</v>
      </c>
      <c r="D19" s="3" t="s">
        <v>7</v>
      </c>
      <c r="E19" t="s">
        <v>2</v>
      </c>
      <c r="F19" t="s">
        <v>15</v>
      </c>
      <c r="G19" s="4">
        <v>1200</v>
      </c>
      <c r="H19" s="5">
        <v>56750</v>
      </c>
      <c r="I19" s="5">
        <f t="shared" si="0"/>
        <v>68100000</v>
      </c>
      <c r="J19" s="6" t="s">
        <v>20</v>
      </c>
      <c r="K19" s="6">
        <f t="shared" si="1"/>
        <v>38419.75</v>
      </c>
      <c r="L19" s="10">
        <f t="shared" si="2"/>
        <v>18330.25</v>
      </c>
      <c r="M19" s="10">
        <f t="shared" si="4"/>
        <v>21996300</v>
      </c>
      <c r="N19" s="10"/>
      <c r="O19" s="26"/>
    </row>
    <row r="20" spans="1:21" x14ac:dyDescent="0.3">
      <c r="A20" s="3">
        <v>45351</v>
      </c>
      <c r="B20" s="22" t="s">
        <v>40</v>
      </c>
      <c r="C20" s="25">
        <v>2024</v>
      </c>
      <c r="D20" s="3" t="s">
        <v>7</v>
      </c>
      <c r="E20" t="s">
        <v>3</v>
      </c>
      <c r="F20" t="s">
        <v>15</v>
      </c>
      <c r="G20" s="4">
        <v>370000</v>
      </c>
      <c r="H20" s="5">
        <v>54550</v>
      </c>
      <c r="I20" s="5">
        <f t="shared" si="0"/>
        <v>20183500000</v>
      </c>
      <c r="J20" s="6" t="s">
        <v>20</v>
      </c>
      <c r="K20" s="6">
        <f t="shared" si="1"/>
        <v>36548.5</v>
      </c>
      <c r="L20" s="10">
        <f t="shared" si="2"/>
        <v>18001.5</v>
      </c>
      <c r="M20" s="10">
        <f t="shared" si="4"/>
        <v>6660555000</v>
      </c>
      <c r="N20" s="10"/>
      <c r="O20" s="26"/>
    </row>
    <row r="21" spans="1:21" x14ac:dyDescent="0.3">
      <c r="A21" s="3">
        <v>45351</v>
      </c>
      <c r="B21" s="22" t="s">
        <v>40</v>
      </c>
      <c r="C21" s="25">
        <v>2024</v>
      </c>
      <c r="D21" s="3" t="s">
        <v>7</v>
      </c>
      <c r="E21" t="s">
        <v>4</v>
      </c>
      <c r="F21" t="s">
        <v>16</v>
      </c>
      <c r="G21" s="4">
        <v>135000</v>
      </c>
      <c r="H21" s="5">
        <v>48800</v>
      </c>
      <c r="I21" s="5">
        <f t="shared" si="0"/>
        <v>6588000000</v>
      </c>
      <c r="J21" s="6" t="s">
        <v>20</v>
      </c>
      <c r="K21" s="6">
        <f t="shared" si="1"/>
        <v>30056.471440000001</v>
      </c>
      <c r="L21" s="10">
        <f t="shared" si="2"/>
        <v>18743.528559999999</v>
      </c>
      <c r="M21" s="10">
        <f t="shared" si="4"/>
        <v>2530376355.5999999</v>
      </c>
      <c r="N21" s="10"/>
      <c r="O21" s="26"/>
    </row>
    <row r="22" spans="1:21" x14ac:dyDescent="0.3">
      <c r="A22" s="3">
        <v>45351</v>
      </c>
      <c r="B22" s="22" t="s">
        <v>40</v>
      </c>
      <c r="C22" s="25">
        <v>2024</v>
      </c>
      <c r="D22" s="3" t="s">
        <v>7</v>
      </c>
      <c r="E22" t="s">
        <v>5</v>
      </c>
      <c r="F22" t="s">
        <v>15</v>
      </c>
      <c r="G22" s="4">
        <v>240000</v>
      </c>
      <c r="H22" s="5">
        <v>12300</v>
      </c>
      <c r="I22" s="5">
        <f t="shared" si="0"/>
        <v>2952000000</v>
      </c>
      <c r="J22" s="6" t="s">
        <v>20</v>
      </c>
      <c r="K22" s="6">
        <f t="shared" si="1"/>
        <v>7995</v>
      </c>
      <c r="L22" s="10">
        <f t="shared" si="2"/>
        <v>4305</v>
      </c>
      <c r="M22" s="10">
        <f t="shared" si="4"/>
        <v>1033200000</v>
      </c>
      <c r="N22" s="10"/>
      <c r="O22" s="26"/>
    </row>
    <row r="23" spans="1:21" x14ac:dyDescent="0.3">
      <c r="A23" s="3">
        <v>45351</v>
      </c>
      <c r="B23" s="22" t="s">
        <v>40</v>
      </c>
      <c r="C23" s="25">
        <v>2024</v>
      </c>
      <c r="D23" s="3" t="s">
        <v>8</v>
      </c>
      <c r="E23" t="s">
        <v>2</v>
      </c>
      <c r="F23" t="s">
        <v>15</v>
      </c>
      <c r="G23" s="4">
        <v>1100</v>
      </c>
      <c r="H23" s="5">
        <v>56750</v>
      </c>
      <c r="I23" s="5">
        <f t="shared" si="0"/>
        <v>62425000</v>
      </c>
      <c r="J23" s="6" t="s">
        <v>20</v>
      </c>
      <c r="K23" s="6">
        <f t="shared" si="1"/>
        <v>38419.75</v>
      </c>
      <c r="L23" s="10">
        <f t="shared" si="2"/>
        <v>18330.25</v>
      </c>
      <c r="M23" s="10">
        <f t="shared" si="4"/>
        <v>20163275</v>
      </c>
      <c r="N23" s="10"/>
      <c r="O23" s="26"/>
    </row>
    <row r="24" spans="1:21" x14ac:dyDescent="0.3">
      <c r="A24" s="3">
        <v>45351</v>
      </c>
      <c r="B24" s="22" t="s">
        <v>40</v>
      </c>
      <c r="C24" s="25">
        <v>2024</v>
      </c>
      <c r="D24" s="3" t="s">
        <v>8</v>
      </c>
      <c r="E24" t="s">
        <v>3</v>
      </c>
      <c r="F24" t="s">
        <v>15</v>
      </c>
      <c r="G24" s="4">
        <v>354700</v>
      </c>
      <c r="H24" s="5">
        <v>54550</v>
      </c>
      <c r="I24" s="5">
        <f t="shared" si="0"/>
        <v>19348885000</v>
      </c>
      <c r="J24" s="6" t="s">
        <v>20</v>
      </c>
      <c r="K24" s="6">
        <f t="shared" si="1"/>
        <v>36548.5</v>
      </c>
      <c r="L24" s="10">
        <f t="shared" si="2"/>
        <v>18001.5</v>
      </c>
      <c r="M24" s="10">
        <f t="shared" si="4"/>
        <v>6385132050</v>
      </c>
      <c r="N24" s="10"/>
      <c r="O24" s="26"/>
    </row>
    <row r="25" spans="1:21" x14ac:dyDescent="0.3">
      <c r="A25" s="3">
        <v>45351</v>
      </c>
      <c r="B25" s="22" t="s">
        <v>40</v>
      </c>
      <c r="C25" s="25">
        <v>2024</v>
      </c>
      <c r="D25" s="3" t="s">
        <v>8</v>
      </c>
      <c r="E25" t="s">
        <v>4</v>
      </c>
      <c r="F25" t="s">
        <v>16</v>
      </c>
      <c r="G25" s="4">
        <v>143000</v>
      </c>
      <c r="H25" s="5">
        <v>48800</v>
      </c>
      <c r="I25" s="5">
        <f t="shared" si="0"/>
        <v>6978400000</v>
      </c>
      <c r="J25" s="6" t="s">
        <v>20</v>
      </c>
      <c r="K25" s="6">
        <f t="shared" si="1"/>
        <v>30056.471440000001</v>
      </c>
      <c r="L25" s="10">
        <f t="shared" si="2"/>
        <v>18743.528559999999</v>
      </c>
      <c r="M25" s="10">
        <f t="shared" si="4"/>
        <v>2680324584.0799999</v>
      </c>
      <c r="N25" s="10"/>
      <c r="O25" s="26"/>
    </row>
    <row r="26" spans="1:21" x14ac:dyDescent="0.3">
      <c r="A26" s="3">
        <v>45351</v>
      </c>
      <c r="B26" s="22" t="s">
        <v>40</v>
      </c>
      <c r="C26" s="25">
        <v>2024</v>
      </c>
      <c r="D26" s="3" t="s">
        <v>8</v>
      </c>
      <c r="E26" t="s">
        <v>5</v>
      </c>
      <c r="F26" t="s">
        <v>15</v>
      </c>
      <c r="G26" s="4">
        <v>240000</v>
      </c>
      <c r="H26" s="5">
        <v>12300</v>
      </c>
      <c r="I26" s="5">
        <f t="shared" si="0"/>
        <v>2952000000</v>
      </c>
      <c r="J26" s="6" t="s">
        <v>20</v>
      </c>
      <c r="K26" s="6">
        <f t="shared" si="1"/>
        <v>7995</v>
      </c>
      <c r="L26" s="10">
        <f t="shared" si="2"/>
        <v>4305</v>
      </c>
      <c r="M26" s="10">
        <f t="shared" si="4"/>
        <v>1033200000</v>
      </c>
      <c r="N26" s="10"/>
      <c r="O26" s="26"/>
    </row>
    <row r="27" spans="1:21" x14ac:dyDescent="0.3">
      <c r="A27" s="3">
        <v>45351</v>
      </c>
      <c r="B27" s="22" t="s">
        <v>40</v>
      </c>
      <c r="C27" s="25">
        <v>2024</v>
      </c>
      <c r="D27" s="3" t="s">
        <v>9</v>
      </c>
      <c r="E27" t="s">
        <v>2</v>
      </c>
      <c r="F27" t="s">
        <v>15</v>
      </c>
      <c r="G27" s="4">
        <v>1050</v>
      </c>
      <c r="H27" s="5">
        <v>56750</v>
      </c>
      <c r="I27" s="5">
        <f t="shared" si="0"/>
        <v>59587500</v>
      </c>
      <c r="J27" s="6" t="s">
        <v>20</v>
      </c>
      <c r="K27" s="6">
        <f t="shared" si="1"/>
        <v>38419.75</v>
      </c>
      <c r="L27" s="10">
        <f t="shared" si="2"/>
        <v>18330.25</v>
      </c>
      <c r="M27" s="10">
        <f t="shared" si="4"/>
        <v>19246762.5</v>
      </c>
      <c r="N27" s="10"/>
      <c r="O27" s="26"/>
    </row>
    <row r="28" spans="1:21" x14ac:dyDescent="0.3">
      <c r="A28" s="3">
        <v>45351</v>
      </c>
      <c r="B28" s="22" t="s">
        <v>40</v>
      </c>
      <c r="C28" s="25">
        <v>2024</v>
      </c>
      <c r="D28" s="3" t="s">
        <v>9</v>
      </c>
      <c r="E28" t="s">
        <v>3</v>
      </c>
      <c r="F28" t="s">
        <v>15</v>
      </c>
      <c r="G28" s="4">
        <v>358000</v>
      </c>
      <c r="H28" s="5">
        <v>54550</v>
      </c>
      <c r="I28" s="5">
        <f t="shared" si="0"/>
        <v>19528900000</v>
      </c>
      <c r="J28" s="6" t="s">
        <v>20</v>
      </c>
      <c r="K28" s="6">
        <f t="shared" si="1"/>
        <v>36548.5</v>
      </c>
      <c r="L28" s="10">
        <f t="shared" si="2"/>
        <v>18001.5</v>
      </c>
      <c r="M28" s="10">
        <f t="shared" si="4"/>
        <v>6444537000</v>
      </c>
      <c r="N28" s="10"/>
      <c r="O28" s="26"/>
    </row>
    <row r="29" spans="1:21" x14ac:dyDescent="0.3">
      <c r="A29" s="3">
        <v>45351</v>
      </c>
      <c r="B29" s="22" t="s">
        <v>40</v>
      </c>
      <c r="C29" s="25">
        <v>2024</v>
      </c>
      <c r="D29" s="3" t="s">
        <v>9</v>
      </c>
      <c r="E29" t="s">
        <v>4</v>
      </c>
      <c r="F29" t="s">
        <v>16</v>
      </c>
      <c r="G29" s="4">
        <v>138000</v>
      </c>
      <c r="H29" s="5">
        <v>48800</v>
      </c>
      <c r="I29" s="5">
        <f t="shared" si="0"/>
        <v>6734400000</v>
      </c>
      <c r="J29" s="6" t="s">
        <v>20</v>
      </c>
      <c r="K29" s="6">
        <f t="shared" si="1"/>
        <v>30056.471440000001</v>
      </c>
      <c r="L29" s="10">
        <f t="shared" si="2"/>
        <v>18743.528559999999</v>
      </c>
      <c r="M29" s="10">
        <f t="shared" si="4"/>
        <v>2586606941.2799997</v>
      </c>
      <c r="N29" s="10"/>
      <c r="O29" s="26"/>
    </row>
    <row r="30" spans="1:21" x14ac:dyDescent="0.3">
      <c r="A30" s="3">
        <v>45351</v>
      </c>
      <c r="B30" s="22" t="s">
        <v>40</v>
      </c>
      <c r="C30" s="25">
        <v>2024</v>
      </c>
      <c r="D30" s="3" t="s">
        <v>9</v>
      </c>
      <c r="E30" t="s">
        <v>5</v>
      </c>
      <c r="F30" t="s">
        <v>15</v>
      </c>
      <c r="G30" s="4">
        <v>240000</v>
      </c>
      <c r="H30" s="5">
        <v>12300</v>
      </c>
      <c r="I30" s="5">
        <f t="shared" si="0"/>
        <v>2952000000</v>
      </c>
      <c r="J30" s="6" t="s">
        <v>20</v>
      </c>
      <c r="K30" s="6">
        <f t="shared" si="1"/>
        <v>7995</v>
      </c>
      <c r="L30" s="10">
        <f t="shared" si="2"/>
        <v>4305</v>
      </c>
      <c r="M30" s="10">
        <f t="shared" si="4"/>
        <v>1033200000</v>
      </c>
      <c r="N30" s="10"/>
      <c r="O30" s="26"/>
    </row>
    <row r="31" spans="1:21" x14ac:dyDescent="0.3">
      <c r="A31" s="3">
        <v>45351</v>
      </c>
      <c r="B31" s="22" t="s">
        <v>40</v>
      </c>
      <c r="C31" s="25">
        <v>2024</v>
      </c>
      <c r="D31" s="3" t="s">
        <v>10</v>
      </c>
      <c r="E31" t="s">
        <v>2</v>
      </c>
      <c r="F31" t="s">
        <v>15</v>
      </c>
      <c r="G31" s="4">
        <v>1110</v>
      </c>
      <c r="H31" s="5">
        <v>56750</v>
      </c>
      <c r="I31" s="5">
        <f t="shared" si="0"/>
        <v>62992500</v>
      </c>
      <c r="J31" s="6" t="s">
        <v>20</v>
      </c>
      <c r="K31" s="6">
        <f t="shared" si="1"/>
        <v>38419.75</v>
      </c>
      <c r="L31" s="10">
        <f t="shared" si="2"/>
        <v>18330.25</v>
      </c>
      <c r="M31" s="10">
        <f t="shared" si="4"/>
        <v>20346577.5</v>
      </c>
      <c r="N31" s="10"/>
      <c r="O31" s="26"/>
    </row>
    <row r="32" spans="1:21" x14ac:dyDescent="0.3">
      <c r="A32" s="3">
        <v>45351</v>
      </c>
      <c r="B32" s="22" t="s">
        <v>40</v>
      </c>
      <c r="C32" s="25">
        <v>2024</v>
      </c>
      <c r="D32" s="3" t="s">
        <v>10</v>
      </c>
      <c r="E32" t="s">
        <v>3</v>
      </c>
      <c r="F32" t="s">
        <v>15</v>
      </c>
      <c r="G32" s="4">
        <v>338000</v>
      </c>
      <c r="H32" s="5">
        <v>54550</v>
      </c>
      <c r="I32" s="5">
        <f t="shared" si="0"/>
        <v>18437900000</v>
      </c>
      <c r="J32" s="6" t="s">
        <v>20</v>
      </c>
      <c r="K32" s="6">
        <f t="shared" si="1"/>
        <v>36548.5</v>
      </c>
      <c r="L32" s="10">
        <f t="shared" si="2"/>
        <v>18001.5</v>
      </c>
      <c r="M32" s="10">
        <f t="shared" si="4"/>
        <v>6084507000</v>
      </c>
      <c r="N32" s="10"/>
      <c r="O32" s="26"/>
    </row>
    <row r="33" spans="1:21" x14ac:dyDescent="0.3">
      <c r="A33" s="3">
        <v>45351</v>
      </c>
      <c r="B33" s="22" t="s">
        <v>40</v>
      </c>
      <c r="C33" s="25">
        <v>2024</v>
      </c>
      <c r="D33" s="3" t="s">
        <v>10</v>
      </c>
      <c r="E33" t="s">
        <v>4</v>
      </c>
      <c r="F33" t="s">
        <v>16</v>
      </c>
      <c r="G33" s="4">
        <v>135000</v>
      </c>
      <c r="H33" s="5">
        <v>48800</v>
      </c>
      <c r="I33" s="5">
        <f t="shared" si="0"/>
        <v>6588000000</v>
      </c>
      <c r="J33" s="6" t="s">
        <v>20</v>
      </c>
      <c r="K33" s="6">
        <f t="shared" si="1"/>
        <v>30056.471440000001</v>
      </c>
      <c r="L33" s="10">
        <f t="shared" si="2"/>
        <v>18743.528559999999</v>
      </c>
      <c r="M33" s="10">
        <f t="shared" si="4"/>
        <v>2530376355.5999999</v>
      </c>
      <c r="N33" s="10"/>
      <c r="O33" s="26"/>
    </row>
    <row r="34" spans="1:21" x14ac:dyDescent="0.3">
      <c r="A34" s="3">
        <v>45351</v>
      </c>
      <c r="B34" s="22" t="s">
        <v>40</v>
      </c>
      <c r="C34" s="25">
        <v>2024</v>
      </c>
      <c r="D34" s="3" t="s">
        <v>10</v>
      </c>
      <c r="E34" t="s">
        <v>5</v>
      </c>
      <c r="F34" t="s">
        <v>15</v>
      </c>
      <c r="G34" s="4">
        <v>240000</v>
      </c>
      <c r="H34" s="5">
        <v>12300</v>
      </c>
      <c r="I34" s="5">
        <f t="shared" si="0"/>
        <v>2952000000</v>
      </c>
      <c r="J34" s="6" t="s">
        <v>20</v>
      </c>
      <c r="K34" s="6">
        <f t="shared" si="1"/>
        <v>7995</v>
      </c>
      <c r="L34" s="10">
        <f t="shared" si="2"/>
        <v>4305</v>
      </c>
      <c r="M34" s="10">
        <f t="shared" si="4"/>
        <v>1033200000</v>
      </c>
      <c r="N34" s="10"/>
      <c r="O34" s="26"/>
      <c r="U34" s="5"/>
    </row>
    <row r="35" spans="1:21" x14ac:dyDescent="0.3">
      <c r="A35" s="3">
        <v>45381</v>
      </c>
      <c r="B35" s="22" t="s">
        <v>41</v>
      </c>
      <c r="C35" s="25">
        <v>2024</v>
      </c>
      <c r="D35" s="3" t="s">
        <v>7</v>
      </c>
      <c r="E35" t="s">
        <v>2</v>
      </c>
      <c r="F35" t="s">
        <v>15</v>
      </c>
      <c r="G35" s="4">
        <v>1210</v>
      </c>
      <c r="H35" s="5">
        <v>56750</v>
      </c>
      <c r="I35" s="5">
        <f t="shared" si="0"/>
        <v>68667500</v>
      </c>
      <c r="J35" s="6" t="s">
        <v>20</v>
      </c>
      <c r="K35" s="6">
        <f t="shared" si="1"/>
        <v>38419.75</v>
      </c>
      <c r="L35" s="10">
        <f t="shared" si="2"/>
        <v>18330.25</v>
      </c>
      <c r="M35" s="10">
        <f t="shared" si="4"/>
        <v>22179602.5</v>
      </c>
      <c r="N35" s="10"/>
      <c r="O35" s="26"/>
    </row>
    <row r="36" spans="1:21" x14ac:dyDescent="0.3">
      <c r="A36" s="3">
        <v>45381</v>
      </c>
      <c r="B36" s="22" t="s">
        <v>41</v>
      </c>
      <c r="C36" s="25">
        <v>2024</v>
      </c>
      <c r="D36" s="3" t="s">
        <v>7</v>
      </c>
      <c r="E36" t="s">
        <v>3</v>
      </c>
      <c r="F36" t="s">
        <v>15</v>
      </c>
      <c r="G36" s="4">
        <v>380000</v>
      </c>
      <c r="H36" s="5">
        <v>54550</v>
      </c>
      <c r="I36" s="5">
        <f t="shared" si="0"/>
        <v>20729000000</v>
      </c>
      <c r="J36" s="6" t="s">
        <v>20</v>
      </c>
      <c r="K36" s="6">
        <f t="shared" si="1"/>
        <v>36548.5</v>
      </c>
      <c r="L36" s="10">
        <f t="shared" si="2"/>
        <v>18001.5</v>
      </c>
      <c r="M36" s="10">
        <f t="shared" si="4"/>
        <v>6840570000</v>
      </c>
      <c r="N36" s="10"/>
      <c r="O36" s="26"/>
    </row>
    <row r="37" spans="1:21" x14ac:dyDescent="0.3">
      <c r="A37" s="3">
        <v>45381</v>
      </c>
      <c r="B37" s="22" t="s">
        <v>41</v>
      </c>
      <c r="C37" s="25">
        <v>2024</v>
      </c>
      <c r="D37" s="3" t="s">
        <v>7</v>
      </c>
      <c r="E37" t="s">
        <v>4</v>
      </c>
      <c r="F37" t="s">
        <v>16</v>
      </c>
      <c r="G37" s="4">
        <v>130000</v>
      </c>
      <c r="H37" s="5">
        <v>48800</v>
      </c>
      <c r="I37" s="5">
        <f t="shared" si="0"/>
        <v>6344000000</v>
      </c>
      <c r="J37" s="6" t="s">
        <v>20</v>
      </c>
      <c r="K37" s="6">
        <f t="shared" si="1"/>
        <v>30056.471440000001</v>
      </c>
      <c r="L37" s="10">
        <f t="shared" si="2"/>
        <v>18743.528559999999</v>
      </c>
      <c r="M37" s="10">
        <f t="shared" si="4"/>
        <v>2436658712.7999997</v>
      </c>
      <c r="N37" s="10"/>
      <c r="O37" s="26"/>
    </row>
    <row r="38" spans="1:21" x14ac:dyDescent="0.3">
      <c r="A38" s="3">
        <v>45381</v>
      </c>
      <c r="B38" s="22" t="s">
        <v>41</v>
      </c>
      <c r="C38" s="25">
        <v>2024</v>
      </c>
      <c r="D38" s="3" t="s">
        <v>7</v>
      </c>
      <c r="E38" t="s">
        <v>5</v>
      </c>
      <c r="F38" t="s">
        <v>15</v>
      </c>
      <c r="G38" s="4">
        <v>257800</v>
      </c>
      <c r="H38" s="5">
        <v>12300</v>
      </c>
      <c r="I38" s="5">
        <f t="shared" si="0"/>
        <v>3170940000</v>
      </c>
      <c r="J38" s="6" t="s">
        <v>20</v>
      </c>
      <c r="K38" s="6">
        <f t="shared" si="1"/>
        <v>7995</v>
      </c>
      <c r="L38" s="10">
        <f t="shared" si="2"/>
        <v>4305</v>
      </c>
      <c r="M38" s="10">
        <f t="shared" si="4"/>
        <v>1109829000</v>
      </c>
      <c r="N38" s="10"/>
      <c r="O38" s="26"/>
    </row>
    <row r="39" spans="1:21" x14ac:dyDescent="0.3">
      <c r="A39" s="3">
        <v>45381</v>
      </c>
      <c r="B39" s="22" t="s">
        <v>41</v>
      </c>
      <c r="C39" s="25">
        <v>2024</v>
      </c>
      <c r="D39" s="3" t="s">
        <v>8</v>
      </c>
      <c r="E39" t="s">
        <v>2</v>
      </c>
      <c r="F39" t="s">
        <v>15</v>
      </c>
      <c r="G39" s="4">
        <v>1120</v>
      </c>
      <c r="H39" s="5">
        <v>56750</v>
      </c>
      <c r="I39" s="5">
        <f t="shared" si="0"/>
        <v>63560000</v>
      </c>
      <c r="J39" s="6" t="s">
        <v>20</v>
      </c>
      <c r="K39" s="6">
        <f t="shared" si="1"/>
        <v>38419.75</v>
      </c>
      <c r="L39" s="10">
        <f t="shared" si="2"/>
        <v>18330.25</v>
      </c>
      <c r="M39" s="10">
        <f t="shared" si="4"/>
        <v>20529880</v>
      </c>
      <c r="N39" s="10"/>
      <c r="O39" s="26"/>
    </row>
    <row r="40" spans="1:21" x14ac:dyDescent="0.3">
      <c r="A40" s="3">
        <v>45381</v>
      </c>
      <c r="B40" s="22" t="s">
        <v>41</v>
      </c>
      <c r="C40" s="25">
        <v>2024</v>
      </c>
      <c r="D40" s="3" t="s">
        <v>8</v>
      </c>
      <c r="E40" t="s">
        <v>3</v>
      </c>
      <c r="F40" t="s">
        <v>15</v>
      </c>
      <c r="G40" s="4">
        <v>359000</v>
      </c>
      <c r="H40" s="5">
        <v>54550</v>
      </c>
      <c r="I40" s="5">
        <f t="shared" si="0"/>
        <v>19583450000</v>
      </c>
      <c r="J40" s="6" t="s">
        <v>20</v>
      </c>
      <c r="K40" s="6">
        <f t="shared" si="1"/>
        <v>36548.5</v>
      </c>
      <c r="L40" s="10">
        <f t="shared" si="2"/>
        <v>18001.5</v>
      </c>
      <c r="M40" s="10">
        <f t="shared" si="4"/>
        <v>6462538500</v>
      </c>
      <c r="N40" s="10"/>
      <c r="O40" s="26"/>
    </row>
    <row r="41" spans="1:21" x14ac:dyDescent="0.3">
      <c r="A41" s="3">
        <v>45381</v>
      </c>
      <c r="B41" s="22" t="s">
        <v>41</v>
      </c>
      <c r="C41" s="25">
        <v>2024</v>
      </c>
      <c r="D41" s="3" t="s">
        <v>8</v>
      </c>
      <c r="E41" t="s">
        <v>4</v>
      </c>
      <c r="F41" t="s">
        <v>16</v>
      </c>
      <c r="G41" s="4">
        <v>134300</v>
      </c>
      <c r="H41" s="5">
        <v>48800</v>
      </c>
      <c r="I41" s="5">
        <f t="shared" si="0"/>
        <v>6553840000</v>
      </c>
      <c r="J41" s="6" t="s">
        <v>20</v>
      </c>
      <c r="K41" s="6">
        <f t="shared" si="1"/>
        <v>30056.471440000001</v>
      </c>
      <c r="L41" s="10">
        <f t="shared" si="2"/>
        <v>18743.528559999999</v>
      </c>
      <c r="M41" s="10">
        <f t="shared" si="4"/>
        <v>2517255885.6079998</v>
      </c>
      <c r="N41" s="10"/>
      <c r="O41" s="26"/>
    </row>
    <row r="42" spans="1:21" x14ac:dyDescent="0.3">
      <c r="A42" s="3">
        <v>45381</v>
      </c>
      <c r="B42" s="22" t="s">
        <v>41</v>
      </c>
      <c r="C42" s="25">
        <v>2024</v>
      </c>
      <c r="D42" s="3" t="s">
        <v>8</v>
      </c>
      <c r="E42" t="s">
        <v>5</v>
      </c>
      <c r="F42" t="s">
        <v>15</v>
      </c>
      <c r="G42" s="4">
        <v>264000</v>
      </c>
      <c r="H42" s="5">
        <v>12300</v>
      </c>
      <c r="I42" s="5">
        <f t="shared" si="0"/>
        <v>3247200000</v>
      </c>
      <c r="J42" s="6" t="s">
        <v>20</v>
      </c>
      <c r="K42" s="6">
        <f t="shared" si="1"/>
        <v>7995</v>
      </c>
      <c r="L42" s="10">
        <f t="shared" si="2"/>
        <v>4305</v>
      </c>
      <c r="M42" s="10">
        <f t="shared" si="4"/>
        <v>1136520000</v>
      </c>
      <c r="N42" s="10"/>
      <c r="O42" s="26"/>
    </row>
    <row r="43" spans="1:21" x14ac:dyDescent="0.3">
      <c r="A43" s="3">
        <v>45381</v>
      </c>
      <c r="B43" s="22" t="s">
        <v>41</v>
      </c>
      <c r="C43" s="25">
        <v>2024</v>
      </c>
      <c r="D43" s="3" t="s">
        <v>9</v>
      </c>
      <c r="E43" t="s">
        <v>2</v>
      </c>
      <c r="F43" t="s">
        <v>15</v>
      </c>
      <c r="G43" s="4">
        <v>1100</v>
      </c>
      <c r="H43" s="5">
        <v>56750</v>
      </c>
      <c r="I43" s="5">
        <f t="shared" si="0"/>
        <v>62425000</v>
      </c>
      <c r="J43" s="6" t="s">
        <v>20</v>
      </c>
      <c r="K43" s="6">
        <f t="shared" si="1"/>
        <v>38419.75</v>
      </c>
      <c r="L43" s="10">
        <f t="shared" si="2"/>
        <v>18330.25</v>
      </c>
      <c r="M43" s="10">
        <f t="shared" si="4"/>
        <v>20163275</v>
      </c>
      <c r="N43" s="10"/>
      <c r="O43" s="26"/>
    </row>
    <row r="44" spans="1:21" x14ac:dyDescent="0.3">
      <c r="A44" s="3">
        <v>45381</v>
      </c>
      <c r="B44" s="22" t="s">
        <v>41</v>
      </c>
      <c r="C44" s="25">
        <v>2024</v>
      </c>
      <c r="D44" s="3" t="s">
        <v>9</v>
      </c>
      <c r="E44" t="s">
        <v>3</v>
      </c>
      <c r="F44" t="s">
        <v>15</v>
      </c>
      <c r="G44" s="4">
        <v>364950</v>
      </c>
      <c r="H44" s="5">
        <v>54550</v>
      </c>
      <c r="I44" s="5">
        <f t="shared" si="0"/>
        <v>19908022500</v>
      </c>
      <c r="J44" s="6" t="s">
        <v>20</v>
      </c>
      <c r="K44" s="6">
        <f t="shared" si="1"/>
        <v>36548.5</v>
      </c>
      <c r="L44" s="10">
        <f t="shared" si="2"/>
        <v>18001.5</v>
      </c>
      <c r="M44" s="10">
        <f t="shared" si="4"/>
        <v>6569647425</v>
      </c>
      <c r="N44" s="10"/>
      <c r="O44" s="26"/>
    </row>
    <row r="45" spans="1:21" x14ac:dyDescent="0.3">
      <c r="A45" s="3">
        <v>45381</v>
      </c>
      <c r="B45" s="22" t="s">
        <v>41</v>
      </c>
      <c r="C45" s="25">
        <v>2024</v>
      </c>
      <c r="D45" s="3" t="s">
        <v>9</v>
      </c>
      <c r="E45" t="s">
        <v>4</v>
      </c>
      <c r="F45" t="s">
        <v>16</v>
      </c>
      <c r="G45" s="4">
        <v>138000</v>
      </c>
      <c r="H45" s="5">
        <v>48800</v>
      </c>
      <c r="I45" s="5">
        <f t="shared" si="0"/>
        <v>6734400000</v>
      </c>
      <c r="J45" s="6" t="s">
        <v>20</v>
      </c>
      <c r="K45" s="6">
        <f t="shared" si="1"/>
        <v>30056.471440000001</v>
      </c>
      <c r="L45" s="10">
        <f t="shared" si="2"/>
        <v>18743.528559999999</v>
      </c>
      <c r="M45" s="10">
        <f t="shared" si="4"/>
        <v>2586606941.2799997</v>
      </c>
      <c r="N45" s="10"/>
      <c r="O45" s="26"/>
    </row>
    <row r="46" spans="1:21" x14ac:dyDescent="0.3">
      <c r="A46" s="3">
        <v>45381</v>
      </c>
      <c r="B46" s="22" t="s">
        <v>41</v>
      </c>
      <c r="C46" s="25">
        <v>2024</v>
      </c>
      <c r="D46" s="3" t="s">
        <v>9</v>
      </c>
      <c r="E46" t="s">
        <v>5</v>
      </c>
      <c r="F46" t="s">
        <v>15</v>
      </c>
      <c r="G46" s="4">
        <v>255650</v>
      </c>
      <c r="H46" s="5">
        <v>12300</v>
      </c>
      <c r="I46" s="5">
        <f t="shared" si="0"/>
        <v>3144495000</v>
      </c>
      <c r="J46" s="6" t="s">
        <v>20</v>
      </c>
      <c r="K46" s="6">
        <f t="shared" si="1"/>
        <v>7995</v>
      </c>
      <c r="L46" s="10">
        <f t="shared" si="2"/>
        <v>4305</v>
      </c>
      <c r="M46" s="10">
        <f t="shared" si="4"/>
        <v>1100573250</v>
      </c>
      <c r="N46" s="10"/>
      <c r="O46" s="26"/>
      <c r="Q46" s="7" t="s">
        <v>29</v>
      </c>
      <c r="R46" s="27">
        <f>SUM(I3,I7,I11,I15,I19,I23,I27,I31,I35,I39,I43,I47)</f>
        <v>785987500</v>
      </c>
    </row>
    <row r="47" spans="1:21" x14ac:dyDescent="0.3">
      <c r="A47" s="3">
        <v>45381</v>
      </c>
      <c r="B47" s="22" t="s">
        <v>41</v>
      </c>
      <c r="C47" s="25">
        <v>2024</v>
      </c>
      <c r="D47" s="3" t="s">
        <v>10</v>
      </c>
      <c r="E47" t="s">
        <v>2</v>
      </c>
      <c r="F47" t="s">
        <v>15</v>
      </c>
      <c r="G47" s="4">
        <v>1140</v>
      </c>
      <c r="H47" s="5">
        <v>56750</v>
      </c>
      <c r="I47" s="5">
        <f t="shared" si="0"/>
        <v>64695000</v>
      </c>
      <c r="J47" s="6" t="s">
        <v>20</v>
      </c>
      <c r="K47" s="6">
        <f t="shared" si="1"/>
        <v>38419.75</v>
      </c>
      <c r="L47" s="10">
        <f t="shared" si="2"/>
        <v>18330.25</v>
      </c>
      <c r="M47" s="10">
        <f t="shared" si="4"/>
        <v>20896485</v>
      </c>
      <c r="N47" s="10"/>
      <c r="O47" s="26"/>
      <c r="Q47" s="7" t="s">
        <v>26</v>
      </c>
      <c r="R47" s="27">
        <f>SUM(I4,I8,I12,I16,I20,I24,I28,I32,I36,I40,I44,I48)</f>
        <v>238200757500</v>
      </c>
    </row>
    <row r="48" spans="1:21" x14ac:dyDescent="0.3">
      <c r="A48" s="3">
        <v>45381</v>
      </c>
      <c r="B48" s="22" t="s">
        <v>41</v>
      </c>
      <c r="C48" s="25">
        <v>2024</v>
      </c>
      <c r="D48" s="3" t="s">
        <v>10</v>
      </c>
      <c r="E48" t="s">
        <v>3</v>
      </c>
      <c r="F48" t="s">
        <v>15</v>
      </c>
      <c r="G48" s="4">
        <v>365000</v>
      </c>
      <c r="H48" s="5">
        <v>54550</v>
      </c>
      <c r="I48" s="5">
        <f t="shared" si="0"/>
        <v>19910750000</v>
      </c>
      <c r="J48" s="6" t="s">
        <v>20</v>
      </c>
      <c r="K48" s="6">
        <f t="shared" si="1"/>
        <v>36548.5</v>
      </c>
      <c r="L48" s="10">
        <f t="shared" si="2"/>
        <v>18001.5</v>
      </c>
      <c r="M48" s="10">
        <f t="shared" si="4"/>
        <v>6570547500</v>
      </c>
      <c r="N48" s="10"/>
      <c r="O48" s="26"/>
      <c r="Q48" s="7" t="s">
        <v>27</v>
      </c>
      <c r="R48" s="27">
        <f>SUM(I5,I9,I13,I17,I21,I25,I29,I33,I37,I41,I45,I49)</f>
        <v>81242240000</v>
      </c>
    </row>
    <row r="49" spans="1:21" x14ac:dyDescent="0.3">
      <c r="A49" s="3">
        <v>45381</v>
      </c>
      <c r="B49" s="22" t="s">
        <v>41</v>
      </c>
      <c r="C49" s="25">
        <v>2024</v>
      </c>
      <c r="D49" s="3" t="s">
        <v>10</v>
      </c>
      <c r="E49" t="s">
        <v>4</v>
      </c>
      <c r="F49" t="s">
        <v>16</v>
      </c>
      <c r="G49" s="4">
        <v>140500</v>
      </c>
      <c r="H49" s="5">
        <v>48800</v>
      </c>
      <c r="I49" s="5">
        <f t="shared" si="0"/>
        <v>6856400000</v>
      </c>
      <c r="J49" s="6" t="s">
        <v>20</v>
      </c>
      <c r="K49" s="6">
        <f t="shared" si="1"/>
        <v>30056.471440000001</v>
      </c>
      <c r="L49" s="10">
        <f t="shared" si="2"/>
        <v>18743.528559999999</v>
      </c>
      <c r="M49" s="10">
        <f t="shared" si="4"/>
        <v>2633465762.6799998</v>
      </c>
      <c r="N49" s="10"/>
      <c r="O49" s="26"/>
      <c r="Q49" s="7" t="s">
        <v>28</v>
      </c>
      <c r="R49" s="27">
        <f>SUM(I6,I10,I14,I18,I22,I26,I30,I34,I38,I42,I46,I50)</f>
        <v>37040835000</v>
      </c>
    </row>
    <row r="50" spans="1:21" x14ac:dyDescent="0.3">
      <c r="A50" s="3">
        <v>45381</v>
      </c>
      <c r="B50" s="22" t="s">
        <v>41</v>
      </c>
      <c r="C50" s="25">
        <v>2024</v>
      </c>
      <c r="D50" s="3" t="s">
        <v>10</v>
      </c>
      <c r="E50" t="s">
        <v>5</v>
      </c>
      <c r="F50" t="s">
        <v>15</v>
      </c>
      <c r="G50" s="4">
        <v>260000</v>
      </c>
      <c r="H50" s="5">
        <v>12300</v>
      </c>
      <c r="I50" s="5">
        <f t="shared" si="0"/>
        <v>3198000000</v>
      </c>
      <c r="J50" s="6" t="s">
        <v>20</v>
      </c>
      <c r="K50" s="6">
        <f t="shared" si="1"/>
        <v>7995</v>
      </c>
      <c r="L50" s="10">
        <f t="shared" si="2"/>
        <v>4305</v>
      </c>
      <c r="M50" s="10">
        <f t="shared" si="4"/>
        <v>1119300000</v>
      </c>
      <c r="N50" s="10"/>
      <c r="O50" s="26"/>
      <c r="Q50" s="7" t="s">
        <v>24</v>
      </c>
      <c r="R50" s="27">
        <f>SUM(R46:R49)</f>
        <v>357269820000</v>
      </c>
      <c r="U50" s="5"/>
    </row>
    <row r="51" spans="1:21" x14ac:dyDescent="0.3">
      <c r="A51" s="3">
        <v>45412</v>
      </c>
      <c r="B51" s="22" t="s">
        <v>42</v>
      </c>
      <c r="C51" s="25">
        <v>2024</v>
      </c>
      <c r="D51" s="3" t="s">
        <v>7</v>
      </c>
      <c r="E51" t="s">
        <v>2</v>
      </c>
      <c r="F51" t="s">
        <v>15</v>
      </c>
      <c r="G51" s="4">
        <v>1100</v>
      </c>
      <c r="H51" s="5">
        <v>56750</v>
      </c>
      <c r="I51" s="5">
        <f t="shared" si="0"/>
        <v>62425000</v>
      </c>
      <c r="J51" s="6" t="s">
        <v>21</v>
      </c>
      <c r="K51" s="6">
        <f t="shared" si="1"/>
        <v>38419.75</v>
      </c>
      <c r="L51" s="10">
        <f t="shared" si="2"/>
        <v>18330.25</v>
      </c>
      <c r="M51" s="10">
        <f t="shared" si="4"/>
        <v>20163275</v>
      </c>
      <c r="N51" s="10"/>
      <c r="O51" s="26"/>
    </row>
    <row r="52" spans="1:21" x14ac:dyDescent="0.3">
      <c r="A52" s="3">
        <v>45412</v>
      </c>
      <c r="B52" s="22" t="s">
        <v>42</v>
      </c>
      <c r="C52" s="25">
        <v>2024</v>
      </c>
      <c r="D52" s="3" t="s">
        <v>7</v>
      </c>
      <c r="E52" t="s">
        <v>3</v>
      </c>
      <c r="F52" t="s">
        <v>15</v>
      </c>
      <c r="G52" s="4">
        <v>220000</v>
      </c>
      <c r="H52" s="5">
        <v>54550</v>
      </c>
      <c r="I52" s="5">
        <f t="shared" si="0"/>
        <v>12001000000</v>
      </c>
      <c r="J52" s="6" t="s">
        <v>21</v>
      </c>
      <c r="K52" s="6">
        <f t="shared" si="1"/>
        <v>36548.5</v>
      </c>
      <c r="L52" s="10">
        <f t="shared" si="2"/>
        <v>18001.5</v>
      </c>
      <c r="M52" s="10">
        <f t="shared" si="4"/>
        <v>3960330000</v>
      </c>
      <c r="N52" s="10"/>
      <c r="O52" s="26"/>
    </row>
    <row r="53" spans="1:21" x14ac:dyDescent="0.3">
      <c r="A53" s="3">
        <v>45412</v>
      </c>
      <c r="B53" s="22" t="s">
        <v>42</v>
      </c>
      <c r="C53" s="25">
        <v>2024</v>
      </c>
      <c r="D53" s="3" t="s">
        <v>7</v>
      </c>
      <c r="E53" t="s">
        <v>4</v>
      </c>
      <c r="F53" t="s">
        <v>16</v>
      </c>
      <c r="G53" s="4">
        <v>278400</v>
      </c>
      <c r="H53" s="5">
        <v>48800</v>
      </c>
      <c r="I53" s="5">
        <f t="shared" si="0"/>
        <v>13585920000</v>
      </c>
      <c r="J53" s="6" t="s">
        <v>21</v>
      </c>
      <c r="K53" s="6">
        <f t="shared" si="1"/>
        <v>30056.471440000001</v>
      </c>
      <c r="L53" s="10">
        <f t="shared" si="2"/>
        <v>18743.528559999999</v>
      </c>
      <c r="M53" s="10">
        <f t="shared" si="4"/>
        <v>5218198351.1040001</v>
      </c>
      <c r="N53" s="10"/>
      <c r="O53" s="26"/>
    </row>
    <row r="54" spans="1:21" x14ac:dyDescent="0.3">
      <c r="A54" s="3">
        <v>45412</v>
      </c>
      <c r="B54" s="22" t="s">
        <v>42</v>
      </c>
      <c r="C54" s="25">
        <v>2024</v>
      </c>
      <c r="D54" s="3" t="s">
        <v>7</v>
      </c>
      <c r="E54" t="s">
        <v>5</v>
      </c>
      <c r="F54" t="s">
        <v>15</v>
      </c>
      <c r="G54" s="4">
        <v>250500</v>
      </c>
      <c r="H54" s="5">
        <v>12300</v>
      </c>
      <c r="I54" s="5">
        <f t="shared" si="0"/>
        <v>3081150000</v>
      </c>
      <c r="J54" s="6" t="s">
        <v>21</v>
      </c>
      <c r="K54" s="6">
        <f t="shared" si="1"/>
        <v>7995</v>
      </c>
      <c r="L54" s="10">
        <f t="shared" si="2"/>
        <v>4305</v>
      </c>
      <c r="M54" s="10">
        <f t="shared" si="4"/>
        <v>1078402500</v>
      </c>
      <c r="N54" s="10"/>
      <c r="O54" s="26"/>
    </row>
    <row r="55" spans="1:21" x14ac:dyDescent="0.3">
      <c r="A55" s="3">
        <v>45412</v>
      </c>
      <c r="B55" s="22" t="s">
        <v>42</v>
      </c>
      <c r="C55" s="25">
        <v>2024</v>
      </c>
      <c r="D55" s="3" t="s">
        <v>8</v>
      </c>
      <c r="E55" t="s">
        <v>2</v>
      </c>
      <c r="F55" t="s">
        <v>15</v>
      </c>
      <c r="G55" s="4">
        <v>1000</v>
      </c>
      <c r="H55" s="5">
        <v>56750</v>
      </c>
      <c r="I55" s="5">
        <f t="shared" ref="I55:I105" si="5">H55*G55</f>
        <v>56750000</v>
      </c>
      <c r="J55" s="6" t="s">
        <v>21</v>
      </c>
      <c r="K55" s="6">
        <f t="shared" si="1"/>
        <v>38419.75</v>
      </c>
      <c r="L55" s="10">
        <f t="shared" si="2"/>
        <v>18330.25</v>
      </c>
      <c r="M55" s="10">
        <f t="shared" si="4"/>
        <v>18330250</v>
      </c>
      <c r="N55" s="10"/>
      <c r="O55" s="26"/>
    </row>
    <row r="56" spans="1:21" x14ac:dyDescent="0.3">
      <c r="A56" s="3">
        <v>45412</v>
      </c>
      <c r="B56" s="22" t="s">
        <v>42</v>
      </c>
      <c r="C56" s="25">
        <v>2024</v>
      </c>
      <c r="D56" s="3" t="s">
        <v>8</v>
      </c>
      <c r="E56" t="s">
        <v>3</v>
      </c>
      <c r="F56" t="s">
        <v>15</v>
      </c>
      <c r="G56" s="4">
        <v>210000</v>
      </c>
      <c r="H56" s="5">
        <v>54550</v>
      </c>
      <c r="I56" s="5">
        <f t="shared" si="5"/>
        <v>11455500000</v>
      </c>
      <c r="J56" s="6" t="s">
        <v>21</v>
      </c>
      <c r="K56" s="6">
        <f t="shared" si="1"/>
        <v>36548.5</v>
      </c>
      <c r="L56" s="10">
        <f t="shared" si="2"/>
        <v>18001.5</v>
      </c>
      <c r="M56" s="10">
        <f t="shared" si="4"/>
        <v>3780315000</v>
      </c>
      <c r="N56" s="10"/>
      <c r="O56" s="26"/>
    </row>
    <row r="57" spans="1:21" x14ac:dyDescent="0.3">
      <c r="A57" s="3">
        <v>45412</v>
      </c>
      <c r="B57" s="22" t="s">
        <v>42</v>
      </c>
      <c r="C57" s="25">
        <v>2024</v>
      </c>
      <c r="D57" s="3" t="s">
        <v>8</v>
      </c>
      <c r="E57" t="s">
        <v>4</v>
      </c>
      <c r="F57" t="s">
        <v>16</v>
      </c>
      <c r="G57" s="4">
        <v>252000</v>
      </c>
      <c r="H57" s="5">
        <v>48800</v>
      </c>
      <c r="I57" s="5">
        <f t="shared" si="5"/>
        <v>12297600000</v>
      </c>
      <c r="J57" s="6" t="s">
        <v>21</v>
      </c>
      <c r="K57" s="6">
        <f t="shared" si="1"/>
        <v>30056.471440000001</v>
      </c>
      <c r="L57" s="10">
        <f t="shared" si="2"/>
        <v>18743.528559999999</v>
      </c>
      <c r="M57" s="10">
        <f t="shared" si="4"/>
        <v>4723369197.1199999</v>
      </c>
      <c r="N57" s="10"/>
      <c r="O57" s="26"/>
    </row>
    <row r="58" spans="1:21" x14ac:dyDescent="0.3">
      <c r="A58" s="3">
        <v>45412</v>
      </c>
      <c r="B58" s="22" t="s">
        <v>42</v>
      </c>
      <c r="C58" s="25">
        <v>2024</v>
      </c>
      <c r="D58" s="3" t="s">
        <v>8</v>
      </c>
      <c r="E58" t="s">
        <v>5</v>
      </c>
      <c r="F58" t="s">
        <v>15</v>
      </c>
      <c r="G58" s="4">
        <v>265000</v>
      </c>
      <c r="H58" s="5">
        <v>12300</v>
      </c>
      <c r="I58" s="5">
        <f t="shared" si="5"/>
        <v>3259500000</v>
      </c>
      <c r="J58" s="6" t="s">
        <v>21</v>
      </c>
      <c r="K58" s="6">
        <f t="shared" si="1"/>
        <v>7995</v>
      </c>
      <c r="L58" s="10">
        <f t="shared" si="2"/>
        <v>4305</v>
      </c>
      <c r="M58" s="10">
        <f t="shared" si="4"/>
        <v>1140825000</v>
      </c>
      <c r="N58" s="10"/>
      <c r="O58" s="26"/>
    </row>
    <row r="59" spans="1:21" x14ac:dyDescent="0.3">
      <c r="A59" s="3">
        <v>45412</v>
      </c>
      <c r="B59" s="22" t="s">
        <v>42</v>
      </c>
      <c r="C59" s="25">
        <v>2024</v>
      </c>
      <c r="D59" s="3" t="s">
        <v>9</v>
      </c>
      <c r="E59" t="s">
        <v>2</v>
      </c>
      <c r="F59" t="s">
        <v>15</v>
      </c>
      <c r="G59" s="4">
        <v>850</v>
      </c>
      <c r="H59" s="5">
        <v>56750</v>
      </c>
      <c r="I59" s="5">
        <f t="shared" si="5"/>
        <v>48237500</v>
      </c>
      <c r="J59" s="6" t="s">
        <v>21</v>
      </c>
      <c r="K59" s="6">
        <f t="shared" si="1"/>
        <v>38419.75</v>
      </c>
      <c r="L59" s="10">
        <f t="shared" si="2"/>
        <v>18330.25</v>
      </c>
      <c r="M59" s="10">
        <f t="shared" si="4"/>
        <v>15580712.5</v>
      </c>
      <c r="N59" s="10"/>
      <c r="O59" s="26"/>
    </row>
    <row r="60" spans="1:21" x14ac:dyDescent="0.3">
      <c r="A60" s="3">
        <v>45412</v>
      </c>
      <c r="B60" s="22" t="s">
        <v>42</v>
      </c>
      <c r="C60" s="25">
        <v>2024</v>
      </c>
      <c r="D60" s="3" t="s">
        <v>9</v>
      </c>
      <c r="E60" t="s">
        <v>3</v>
      </c>
      <c r="F60" t="s">
        <v>15</v>
      </c>
      <c r="G60" s="4">
        <v>209000</v>
      </c>
      <c r="H60" s="5">
        <v>54550</v>
      </c>
      <c r="I60" s="5">
        <f t="shared" si="5"/>
        <v>11400950000</v>
      </c>
      <c r="J60" s="6" t="s">
        <v>21</v>
      </c>
      <c r="K60" s="6">
        <f t="shared" si="1"/>
        <v>36548.5</v>
      </c>
      <c r="L60" s="10">
        <f t="shared" si="2"/>
        <v>18001.5</v>
      </c>
      <c r="M60" s="10">
        <f t="shared" si="4"/>
        <v>3762313500</v>
      </c>
      <c r="N60" s="10"/>
      <c r="O60" s="26"/>
    </row>
    <row r="61" spans="1:21" x14ac:dyDescent="0.3">
      <c r="A61" s="3">
        <v>45412</v>
      </c>
      <c r="B61" s="22" t="s">
        <v>42</v>
      </c>
      <c r="C61" s="25">
        <v>2024</v>
      </c>
      <c r="D61" s="3" t="s">
        <v>9</v>
      </c>
      <c r="E61" t="s">
        <v>4</v>
      </c>
      <c r="F61" t="s">
        <v>16</v>
      </c>
      <c r="G61" s="4">
        <v>250000</v>
      </c>
      <c r="H61" s="5">
        <v>48800</v>
      </c>
      <c r="I61" s="5">
        <f t="shared" si="5"/>
        <v>12200000000</v>
      </c>
      <c r="J61" s="6" t="s">
        <v>21</v>
      </c>
      <c r="K61" s="6">
        <f t="shared" si="1"/>
        <v>30056.471440000001</v>
      </c>
      <c r="L61" s="10">
        <f t="shared" si="2"/>
        <v>18743.528559999999</v>
      </c>
      <c r="M61" s="10">
        <f t="shared" si="4"/>
        <v>4685882140</v>
      </c>
      <c r="N61" s="10"/>
      <c r="O61" s="26"/>
    </row>
    <row r="62" spans="1:21" x14ac:dyDescent="0.3">
      <c r="A62" s="3">
        <v>45412</v>
      </c>
      <c r="B62" s="22" t="s">
        <v>42</v>
      </c>
      <c r="C62" s="25">
        <v>2024</v>
      </c>
      <c r="D62" s="3" t="s">
        <v>9</v>
      </c>
      <c r="E62" t="s">
        <v>5</v>
      </c>
      <c r="F62" t="s">
        <v>15</v>
      </c>
      <c r="G62" s="4">
        <v>241000</v>
      </c>
      <c r="H62" s="5">
        <v>12300</v>
      </c>
      <c r="I62" s="5">
        <f t="shared" si="5"/>
        <v>2964300000</v>
      </c>
      <c r="J62" s="6" t="s">
        <v>21</v>
      </c>
      <c r="K62" s="6">
        <f t="shared" si="1"/>
        <v>7995</v>
      </c>
      <c r="L62" s="10">
        <f t="shared" si="2"/>
        <v>4305</v>
      </c>
      <c r="M62" s="10">
        <f t="shared" si="4"/>
        <v>1037505000</v>
      </c>
      <c r="N62" s="10"/>
      <c r="O62" s="26"/>
    </row>
    <row r="63" spans="1:21" x14ac:dyDescent="0.3">
      <c r="A63" s="3">
        <v>45412</v>
      </c>
      <c r="B63" s="22" t="s">
        <v>42</v>
      </c>
      <c r="C63" s="25">
        <v>2024</v>
      </c>
      <c r="D63" s="3" t="s">
        <v>10</v>
      </c>
      <c r="E63" t="s">
        <v>2</v>
      </c>
      <c r="F63" t="s">
        <v>15</v>
      </c>
      <c r="G63" s="4">
        <v>900</v>
      </c>
      <c r="H63" s="5">
        <v>56750</v>
      </c>
      <c r="I63" s="5">
        <f t="shared" si="5"/>
        <v>51075000</v>
      </c>
      <c r="J63" s="6" t="s">
        <v>21</v>
      </c>
      <c r="K63" s="6">
        <f t="shared" si="1"/>
        <v>38419.75</v>
      </c>
      <c r="L63" s="10">
        <f t="shared" si="2"/>
        <v>18330.25</v>
      </c>
      <c r="M63" s="10">
        <f t="shared" si="4"/>
        <v>16497225</v>
      </c>
      <c r="N63" s="10"/>
      <c r="O63" s="26"/>
    </row>
    <row r="64" spans="1:21" x14ac:dyDescent="0.3">
      <c r="A64" s="3">
        <v>45412</v>
      </c>
      <c r="B64" s="22" t="s">
        <v>42</v>
      </c>
      <c r="C64" s="25">
        <v>2024</v>
      </c>
      <c r="D64" s="3" t="s">
        <v>10</v>
      </c>
      <c r="E64" t="s">
        <v>3</v>
      </c>
      <c r="F64" t="s">
        <v>15</v>
      </c>
      <c r="G64" s="4">
        <v>210000</v>
      </c>
      <c r="H64" s="5">
        <v>54550</v>
      </c>
      <c r="I64" s="5">
        <f t="shared" si="5"/>
        <v>11455500000</v>
      </c>
      <c r="J64" s="6" t="s">
        <v>21</v>
      </c>
      <c r="K64" s="6">
        <f t="shared" si="1"/>
        <v>36548.5</v>
      </c>
      <c r="L64" s="10">
        <f t="shared" si="2"/>
        <v>18001.5</v>
      </c>
      <c r="M64" s="10">
        <f t="shared" si="4"/>
        <v>3780315000</v>
      </c>
      <c r="N64" s="10"/>
      <c r="O64" s="26"/>
    </row>
    <row r="65" spans="1:21" x14ac:dyDescent="0.3">
      <c r="A65" s="3">
        <v>45412</v>
      </c>
      <c r="B65" s="22" t="s">
        <v>42</v>
      </c>
      <c r="C65" s="25">
        <v>2024</v>
      </c>
      <c r="D65" s="3" t="s">
        <v>10</v>
      </c>
      <c r="E65" t="s">
        <v>4</v>
      </c>
      <c r="F65" t="s">
        <v>16</v>
      </c>
      <c r="G65" s="4">
        <v>249000</v>
      </c>
      <c r="H65" s="5">
        <v>48800</v>
      </c>
      <c r="I65" s="5">
        <f t="shared" si="5"/>
        <v>12151200000</v>
      </c>
      <c r="J65" s="6" t="s">
        <v>21</v>
      </c>
      <c r="K65" s="6">
        <f t="shared" si="1"/>
        <v>30056.471440000001</v>
      </c>
      <c r="L65" s="10">
        <f t="shared" si="2"/>
        <v>18743.528559999999</v>
      </c>
      <c r="M65" s="10">
        <f t="shared" si="4"/>
        <v>4667138611.4399996</v>
      </c>
      <c r="N65" s="10"/>
      <c r="O65" s="26"/>
    </row>
    <row r="66" spans="1:21" x14ac:dyDescent="0.3">
      <c r="A66" s="3">
        <v>45412</v>
      </c>
      <c r="B66" s="22" t="s">
        <v>42</v>
      </c>
      <c r="C66" s="25">
        <v>2024</v>
      </c>
      <c r="D66" s="3" t="s">
        <v>10</v>
      </c>
      <c r="E66" t="s">
        <v>5</v>
      </c>
      <c r="F66" t="s">
        <v>15</v>
      </c>
      <c r="G66" s="4">
        <v>248000</v>
      </c>
      <c r="H66" s="5">
        <v>12300</v>
      </c>
      <c r="I66" s="5">
        <f t="shared" si="5"/>
        <v>3050400000</v>
      </c>
      <c r="J66" s="6" t="s">
        <v>21</v>
      </c>
      <c r="K66" s="6">
        <f t="shared" si="1"/>
        <v>7995</v>
      </c>
      <c r="L66" s="10">
        <f t="shared" si="2"/>
        <v>4305</v>
      </c>
      <c r="M66" s="10">
        <f t="shared" si="4"/>
        <v>1067640000</v>
      </c>
      <c r="N66" s="10"/>
      <c r="O66" s="26"/>
      <c r="U66" s="5"/>
    </row>
    <row r="67" spans="1:21" x14ac:dyDescent="0.3">
      <c r="A67" s="3">
        <v>45443</v>
      </c>
      <c r="B67" s="22" t="s">
        <v>43</v>
      </c>
      <c r="C67" s="25">
        <v>2024</v>
      </c>
      <c r="D67" s="3" t="s">
        <v>7</v>
      </c>
      <c r="E67" t="s">
        <v>2</v>
      </c>
      <c r="F67" t="s">
        <v>15</v>
      </c>
      <c r="G67" s="4">
        <v>900</v>
      </c>
      <c r="H67" s="5">
        <v>56750</v>
      </c>
      <c r="I67" s="5">
        <f t="shared" si="5"/>
        <v>51075000</v>
      </c>
      <c r="J67" s="6" t="s">
        <v>21</v>
      </c>
      <c r="K67" s="6">
        <f t="shared" si="1"/>
        <v>38419.75</v>
      </c>
      <c r="L67" s="10">
        <f t="shared" si="2"/>
        <v>18330.25</v>
      </c>
      <c r="M67" s="10">
        <f t="shared" si="4"/>
        <v>16497225</v>
      </c>
      <c r="N67" s="10"/>
      <c r="O67" s="26"/>
    </row>
    <row r="68" spans="1:21" x14ac:dyDescent="0.3">
      <c r="A68" s="3">
        <v>45443</v>
      </c>
      <c r="B68" s="22" t="s">
        <v>43</v>
      </c>
      <c r="C68" s="25">
        <v>2024</v>
      </c>
      <c r="D68" s="3" t="s">
        <v>7</v>
      </c>
      <c r="E68" t="s">
        <v>3</v>
      </c>
      <c r="F68" t="s">
        <v>15</v>
      </c>
      <c r="G68" s="4">
        <v>178000</v>
      </c>
      <c r="H68" s="5">
        <v>54550</v>
      </c>
      <c r="I68" s="5">
        <f t="shared" si="5"/>
        <v>9709900000</v>
      </c>
      <c r="J68" s="6" t="s">
        <v>21</v>
      </c>
      <c r="K68" s="6">
        <f t="shared" ref="K68:K131" si="6">IF(E68="Flour",H68*0.6159113,IF(E68="Pasta",H68*0.65,IF(E68="Sugar",H68*0.67,IF(E68="Rice",H68*0.677))))</f>
        <v>36548.5</v>
      </c>
      <c r="L68" s="10">
        <f t="shared" ref="L68:L131" si="7">H68-K68</f>
        <v>18001.5</v>
      </c>
      <c r="M68" s="10">
        <f t="shared" ref="M68:M131" si="8">G68*L68</f>
        <v>3204267000</v>
      </c>
      <c r="N68" s="10"/>
      <c r="O68" s="26"/>
    </row>
    <row r="69" spans="1:21" x14ac:dyDescent="0.3">
      <c r="A69" s="3">
        <v>45443</v>
      </c>
      <c r="B69" s="22" t="s">
        <v>43</v>
      </c>
      <c r="C69" s="25">
        <v>2024</v>
      </c>
      <c r="D69" s="3" t="s">
        <v>7</v>
      </c>
      <c r="E69" t="s">
        <v>4</v>
      </c>
      <c r="F69" t="s">
        <v>16</v>
      </c>
      <c r="G69" s="4">
        <v>253000</v>
      </c>
      <c r="H69" s="5">
        <v>48800</v>
      </c>
      <c r="I69" s="5">
        <f t="shared" si="5"/>
        <v>12346400000</v>
      </c>
      <c r="J69" s="6" t="s">
        <v>21</v>
      </c>
      <c r="K69" s="6">
        <f t="shared" si="6"/>
        <v>30056.471440000001</v>
      </c>
      <c r="L69" s="10">
        <f t="shared" si="7"/>
        <v>18743.528559999999</v>
      </c>
      <c r="M69" s="10">
        <f t="shared" si="8"/>
        <v>4742112725.6799994</v>
      </c>
      <c r="N69" s="10"/>
      <c r="O69" s="26"/>
    </row>
    <row r="70" spans="1:21" x14ac:dyDescent="0.3">
      <c r="A70" s="3">
        <v>45443</v>
      </c>
      <c r="B70" s="22" t="s">
        <v>43</v>
      </c>
      <c r="C70" s="25">
        <v>2024</v>
      </c>
      <c r="D70" s="3" t="s">
        <v>7</v>
      </c>
      <c r="E70" t="s">
        <v>5</v>
      </c>
      <c r="F70" t="s">
        <v>15</v>
      </c>
      <c r="G70" s="4">
        <v>257000</v>
      </c>
      <c r="H70" s="5">
        <v>12300</v>
      </c>
      <c r="I70" s="5">
        <f t="shared" si="5"/>
        <v>3161100000</v>
      </c>
      <c r="J70" s="6" t="s">
        <v>21</v>
      </c>
      <c r="K70" s="6">
        <f t="shared" si="6"/>
        <v>7995</v>
      </c>
      <c r="L70" s="10">
        <f t="shared" si="7"/>
        <v>4305</v>
      </c>
      <c r="M70" s="10">
        <f t="shared" si="8"/>
        <v>1106385000</v>
      </c>
      <c r="N70" s="10"/>
      <c r="O70" s="26"/>
    </row>
    <row r="71" spans="1:21" x14ac:dyDescent="0.3">
      <c r="A71" s="3">
        <v>45443</v>
      </c>
      <c r="B71" s="22" t="s">
        <v>43</v>
      </c>
      <c r="C71" s="25">
        <v>2024</v>
      </c>
      <c r="D71" s="3" t="s">
        <v>8</v>
      </c>
      <c r="E71" t="s">
        <v>2</v>
      </c>
      <c r="F71" t="s">
        <v>15</v>
      </c>
      <c r="G71" s="4">
        <v>920</v>
      </c>
      <c r="H71" s="5">
        <v>56750</v>
      </c>
      <c r="I71" s="5">
        <f t="shared" si="5"/>
        <v>52210000</v>
      </c>
      <c r="J71" s="6" t="s">
        <v>21</v>
      </c>
      <c r="K71" s="6">
        <f t="shared" si="6"/>
        <v>38419.75</v>
      </c>
      <c r="L71" s="10">
        <f t="shared" si="7"/>
        <v>18330.25</v>
      </c>
      <c r="M71" s="10">
        <f t="shared" si="8"/>
        <v>16863830</v>
      </c>
      <c r="N71" s="10"/>
      <c r="O71" s="26"/>
    </row>
    <row r="72" spans="1:21" x14ac:dyDescent="0.3">
      <c r="A72" s="3">
        <v>45443</v>
      </c>
      <c r="B72" s="22" t="s">
        <v>43</v>
      </c>
      <c r="C72" s="25">
        <v>2024</v>
      </c>
      <c r="D72" s="3" t="s">
        <v>8</v>
      </c>
      <c r="E72" t="s">
        <v>3</v>
      </c>
      <c r="F72" t="s">
        <v>15</v>
      </c>
      <c r="G72" s="4">
        <v>185000</v>
      </c>
      <c r="H72" s="5">
        <v>54550</v>
      </c>
      <c r="I72" s="5">
        <f t="shared" si="5"/>
        <v>10091750000</v>
      </c>
      <c r="J72" s="6" t="s">
        <v>21</v>
      </c>
      <c r="K72" s="6">
        <f t="shared" si="6"/>
        <v>36548.5</v>
      </c>
      <c r="L72" s="10">
        <f t="shared" si="7"/>
        <v>18001.5</v>
      </c>
      <c r="M72" s="10">
        <f t="shared" si="8"/>
        <v>3330277500</v>
      </c>
      <c r="N72" s="10"/>
      <c r="O72" s="26"/>
    </row>
    <row r="73" spans="1:21" x14ac:dyDescent="0.3">
      <c r="A73" s="3">
        <v>45443</v>
      </c>
      <c r="B73" s="22" t="s">
        <v>43</v>
      </c>
      <c r="C73" s="25">
        <v>2024</v>
      </c>
      <c r="D73" s="3" t="s">
        <v>8</v>
      </c>
      <c r="E73" t="s">
        <v>4</v>
      </c>
      <c r="F73" t="s">
        <v>16</v>
      </c>
      <c r="G73" s="4">
        <v>258000</v>
      </c>
      <c r="H73" s="5">
        <v>48800</v>
      </c>
      <c r="I73" s="5">
        <f t="shared" si="5"/>
        <v>12590400000</v>
      </c>
      <c r="J73" s="6" t="s">
        <v>21</v>
      </c>
      <c r="K73" s="6">
        <f t="shared" si="6"/>
        <v>30056.471440000001</v>
      </c>
      <c r="L73" s="10">
        <f t="shared" si="7"/>
        <v>18743.528559999999</v>
      </c>
      <c r="M73" s="10">
        <f t="shared" si="8"/>
        <v>4835830368.4799995</v>
      </c>
      <c r="N73" s="10"/>
      <c r="O73" s="26"/>
    </row>
    <row r="74" spans="1:21" x14ac:dyDescent="0.3">
      <c r="A74" s="3">
        <v>45443</v>
      </c>
      <c r="B74" s="22" t="s">
        <v>43</v>
      </c>
      <c r="C74" s="25">
        <v>2024</v>
      </c>
      <c r="D74" s="3" t="s">
        <v>8</v>
      </c>
      <c r="E74" t="s">
        <v>5</v>
      </c>
      <c r="F74" t="s">
        <v>15</v>
      </c>
      <c r="G74" s="4">
        <v>252000</v>
      </c>
      <c r="H74" s="5">
        <v>12300</v>
      </c>
      <c r="I74" s="5">
        <f t="shared" si="5"/>
        <v>3099600000</v>
      </c>
      <c r="J74" s="6" t="s">
        <v>21</v>
      </c>
      <c r="K74" s="6">
        <f t="shared" si="6"/>
        <v>7995</v>
      </c>
      <c r="L74" s="10">
        <f t="shared" si="7"/>
        <v>4305</v>
      </c>
      <c r="M74" s="10">
        <f t="shared" si="8"/>
        <v>1084860000</v>
      </c>
      <c r="N74" s="10"/>
      <c r="O74" s="26"/>
    </row>
    <row r="75" spans="1:21" x14ac:dyDescent="0.3">
      <c r="A75" s="3">
        <v>45443</v>
      </c>
      <c r="B75" s="22" t="s">
        <v>43</v>
      </c>
      <c r="C75" s="25">
        <v>2024</v>
      </c>
      <c r="D75" s="3" t="s">
        <v>9</v>
      </c>
      <c r="E75" t="s">
        <v>2</v>
      </c>
      <c r="F75" t="s">
        <v>15</v>
      </c>
      <c r="G75" s="4">
        <v>960</v>
      </c>
      <c r="H75" s="5">
        <v>56750</v>
      </c>
      <c r="I75" s="5">
        <f t="shared" si="5"/>
        <v>54480000</v>
      </c>
      <c r="J75" s="6" t="s">
        <v>21</v>
      </c>
      <c r="K75" s="6">
        <f t="shared" si="6"/>
        <v>38419.75</v>
      </c>
      <c r="L75" s="10">
        <f t="shared" si="7"/>
        <v>18330.25</v>
      </c>
      <c r="M75" s="10">
        <f t="shared" si="8"/>
        <v>17597040</v>
      </c>
      <c r="N75" s="10"/>
      <c r="O75" s="26"/>
    </row>
    <row r="76" spans="1:21" x14ac:dyDescent="0.3">
      <c r="A76" s="3">
        <v>45443</v>
      </c>
      <c r="B76" s="22" t="s">
        <v>43</v>
      </c>
      <c r="C76" s="25">
        <v>2024</v>
      </c>
      <c r="D76" s="3" t="s">
        <v>9</v>
      </c>
      <c r="E76" t="s">
        <v>3</v>
      </c>
      <c r="F76" t="s">
        <v>15</v>
      </c>
      <c r="G76" s="4">
        <v>180000</v>
      </c>
      <c r="H76" s="5">
        <v>54550</v>
      </c>
      <c r="I76" s="5">
        <f t="shared" si="5"/>
        <v>9819000000</v>
      </c>
      <c r="J76" s="6" t="s">
        <v>21</v>
      </c>
      <c r="K76" s="6">
        <f t="shared" si="6"/>
        <v>36548.5</v>
      </c>
      <c r="L76" s="10">
        <f t="shared" si="7"/>
        <v>18001.5</v>
      </c>
      <c r="M76" s="10">
        <f t="shared" si="8"/>
        <v>3240270000</v>
      </c>
      <c r="N76" s="10"/>
      <c r="O76" s="26"/>
    </row>
    <row r="77" spans="1:21" x14ac:dyDescent="0.3">
      <c r="A77" s="3">
        <v>45443</v>
      </c>
      <c r="B77" s="22" t="s">
        <v>43</v>
      </c>
      <c r="C77" s="25">
        <v>2024</v>
      </c>
      <c r="D77" s="3" t="s">
        <v>9</v>
      </c>
      <c r="E77" t="s">
        <v>4</v>
      </c>
      <c r="F77" t="s">
        <v>16</v>
      </c>
      <c r="G77" s="4">
        <v>251000</v>
      </c>
      <c r="H77" s="5">
        <v>48800</v>
      </c>
      <c r="I77" s="5">
        <f t="shared" si="5"/>
        <v>12248800000</v>
      </c>
      <c r="J77" s="6" t="s">
        <v>21</v>
      </c>
      <c r="K77" s="6">
        <f t="shared" si="6"/>
        <v>30056.471440000001</v>
      </c>
      <c r="L77" s="10">
        <f t="shared" si="7"/>
        <v>18743.528559999999</v>
      </c>
      <c r="M77" s="10">
        <f t="shared" si="8"/>
        <v>4704625668.5599995</v>
      </c>
      <c r="N77" s="10"/>
      <c r="O77" s="26"/>
    </row>
    <row r="78" spans="1:21" x14ac:dyDescent="0.3">
      <c r="A78" s="3">
        <v>45443</v>
      </c>
      <c r="B78" s="22" t="s">
        <v>43</v>
      </c>
      <c r="C78" s="25">
        <v>2024</v>
      </c>
      <c r="D78" s="3" t="s">
        <v>9</v>
      </c>
      <c r="E78" t="s">
        <v>5</v>
      </c>
      <c r="F78" t="s">
        <v>15</v>
      </c>
      <c r="G78" s="4">
        <v>239400</v>
      </c>
      <c r="H78" s="5">
        <v>12300</v>
      </c>
      <c r="I78" s="5">
        <f t="shared" si="5"/>
        <v>2944620000</v>
      </c>
      <c r="J78" s="6" t="s">
        <v>21</v>
      </c>
      <c r="K78" s="6">
        <f t="shared" si="6"/>
        <v>7995</v>
      </c>
      <c r="L78" s="10">
        <f t="shared" si="7"/>
        <v>4305</v>
      </c>
      <c r="M78" s="10">
        <f t="shared" si="8"/>
        <v>1030617000</v>
      </c>
      <c r="N78" s="10"/>
      <c r="O78" s="26"/>
    </row>
    <row r="79" spans="1:21" x14ac:dyDescent="0.3">
      <c r="A79" s="3">
        <v>45443</v>
      </c>
      <c r="B79" s="22" t="s">
        <v>43</v>
      </c>
      <c r="C79" s="25">
        <v>2024</v>
      </c>
      <c r="D79" s="3" t="s">
        <v>10</v>
      </c>
      <c r="E79" t="s">
        <v>2</v>
      </c>
      <c r="F79" t="s">
        <v>15</v>
      </c>
      <c r="G79" s="4">
        <v>940</v>
      </c>
      <c r="H79" s="5">
        <v>56750</v>
      </c>
      <c r="I79" s="5">
        <f t="shared" si="5"/>
        <v>53345000</v>
      </c>
      <c r="J79" s="6" t="s">
        <v>21</v>
      </c>
      <c r="K79" s="6">
        <f t="shared" si="6"/>
        <v>38419.75</v>
      </c>
      <c r="L79" s="10">
        <f t="shared" si="7"/>
        <v>18330.25</v>
      </c>
      <c r="M79" s="10">
        <f t="shared" si="8"/>
        <v>17230435</v>
      </c>
      <c r="N79" s="10"/>
      <c r="O79" s="26"/>
    </row>
    <row r="80" spans="1:21" x14ac:dyDescent="0.3">
      <c r="A80" s="3">
        <v>45443</v>
      </c>
      <c r="B80" s="22" t="s">
        <v>43</v>
      </c>
      <c r="C80" s="25">
        <v>2024</v>
      </c>
      <c r="D80" s="3" t="s">
        <v>10</v>
      </c>
      <c r="E80" t="s">
        <v>3</v>
      </c>
      <c r="F80" t="s">
        <v>15</v>
      </c>
      <c r="G80" s="4">
        <v>208000</v>
      </c>
      <c r="H80" s="5">
        <v>54550</v>
      </c>
      <c r="I80" s="5">
        <f t="shared" si="5"/>
        <v>11346400000</v>
      </c>
      <c r="J80" s="6" t="s">
        <v>21</v>
      </c>
      <c r="K80" s="6">
        <f t="shared" si="6"/>
        <v>36548.5</v>
      </c>
      <c r="L80" s="10">
        <f t="shared" si="7"/>
        <v>18001.5</v>
      </c>
      <c r="M80" s="10">
        <f t="shared" si="8"/>
        <v>3744312000</v>
      </c>
      <c r="N80" s="10"/>
      <c r="O80" s="26"/>
    </row>
    <row r="81" spans="1:21" x14ac:dyDescent="0.3">
      <c r="A81" s="3">
        <v>45443</v>
      </c>
      <c r="B81" s="22" t="s">
        <v>43</v>
      </c>
      <c r="C81" s="25">
        <v>2024</v>
      </c>
      <c r="D81" s="3" t="s">
        <v>10</v>
      </c>
      <c r="E81" t="s">
        <v>4</v>
      </c>
      <c r="F81" t="s">
        <v>16</v>
      </c>
      <c r="G81" s="4">
        <v>240000</v>
      </c>
      <c r="H81" s="5">
        <v>48800</v>
      </c>
      <c r="I81" s="5">
        <f t="shared" si="5"/>
        <v>11712000000</v>
      </c>
      <c r="J81" s="6" t="s">
        <v>21</v>
      </c>
      <c r="K81" s="6">
        <f t="shared" si="6"/>
        <v>30056.471440000001</v>
      </c>
      <c r="L81" s="10">
        <f t="shared" si="7"/>
        <v>18743.528559999999</v>
      </c>
      <c r="M81" s="10">
        <f t="shared" si="8"/>
        <v>4498446854.3999996</v>
      </c>
      <c r="N81" s="10"/>
      <c r="O81" s="26"/>
    </row>
    <row r="82" spans="1:21" x14ac:dyDescent="0.3">
      <c r="A82" s="3">
        <v>45443</v>
      </c>
      <c r="B82" s="22" t="s">
        <v>43</v>
      </c>
      <c r="C82" s="25">
        <v>2024</v>
      </c>
      <c r="D82" s="3" t="s">
        <v>10</v>
      </c>
      <c r="E82" t="s">
        <v>5</v>
      </c>
      <c r="F82" t="s">
        <v>15</v>
      </c>
      <c r="G82" s="4">
        <v>243000</v>
      </c>
      <c r="H82" s="5">
        <v>12300</v>
      </c>
      <c r="I82" s="5">
        <f t="shared" si="5"/>
        <v>2988900000</v>
      </c>
      <c r="J82" s="6" t="s">
        <v>21</v>
      </c>
      <c r="K82" s="6">
        <f t="shared" si="6"/>
        <v>7995</v>
      </c>
      <c r="L82" s="10">
        <f t="shared" si="7"/>
        <v>4305</v>
      </c>
      <c r="M82" s="10">
        <f t="shared" si="8"/>
        <v>1046115000</v>
      </c>
      <c r="N82" s="10"/>
      <c r="O82" s="26"/>
      <c r="U82" s="5"/>
    </row>
    <row r="83" spans="1:21" x14ac:dyDescent="0.3">
      <c r="A83" s="3">
        <v>45473</v>
      </c>
      <c r="B83" s="22" t="s">
        <v>44</v>
      </c>
      <c r="C83" s="25">
        <v>2024</v>
      </c>
      <c r="D83" s="3" t="s">
        <v>7</v>
      </c>
      <c r="E83" t="s">
        <v>2</v>
      </c>
      <c r="F83" t="s">
        <v>15</v>
      </c>
      <c r="G83" s="4">
        <v>800</v>
      </c>
      <c r="H83" s="5">
        <v>56750</v>
      </c>
      <c r="I83" s="5">
        <f t="shared" si="5"/>
        <v>45400000</v>
      </c>
      <c r="J83" s="6" t="s">
        <v>21</v>
      </c>
      <c r="K83" s="6">
        <f t="shared" si="6"/>
        <v>38419.75</v>
      </c>
      <c r="L83" s="10">
        <f t="shared" si="7"/>
        <v>18330.25</v>
      </c>
      <c r="M83" s="10">
        <f t="shared" si="8"/>
        <v>14664200</v>
      </c>
      <c r="N83" s="10"/>
      <c r="O83" s="26"/>
    </row>
    <row r="84" spans="1:21" x14ac:dyDescent="0.3">
      <c r="A84" s="3">
        <v>45473</v>
      </c>
      <c r="B84" s="22" t="s">
        <v>44</v>
      </c>
      <c r="C84" s="25">
        <v>2024</v>
      </c>
      <c r="D84" s="3" t="s">
        <v>7</v>
      </c>
      <c r="E84" t="s">
        <v>3</v>
      </c>
      <c r="F84" t="s">
        <v>15</v>
      </c>
      <c r="G84" s="4">
        <v>190000</v>
      </c>
      <c r="H84" s="5">
        <v>54550</v>
      </c>
      <c r="I84" s="5">
        <f t="shared" si="5"/>
        <v>10364500000</v>
      </c>
      <c r="J84" s="6" t="s">
        <v>21</v>
      </c>
      <c r="K84" s="6">
        <f t="shared" si="6"/>
        <v>36548.5</v>
      </c>
      <c r="L84" s="10">
        <f t="shared" si="7"/>
        <v>18001.5</v>
      </c>
      <c r="M84" s="10">
        <f t="shared" si="8"/>
        <v>3420285000</v>
      </c>
      <c r="N84" s="10"/>
      <c r="O84" s="26"/>
    </row>
    <row r="85" spans="1:21" x14ac:dyDescent="0.3">
      <c r="A85" s="3">
        <v>45473</v>
      </c>
      <c r="B85" s="22" t="s">
        <v>44</v>
      </c>
      <c r="C85" s="25">
        <v>2024</v>
      </c>
      <c r="D85" s="3" t="s">
        <v>7</v>
      </c>
      <c r="E85" t="s">
        <v>4</v>
      </c>
      <c r="F85" t="s">
        <v>16</v>
      </c>
      <c r="G85" s="4">
        <v>243300</v>
      </c>
      <c r="H85" s="5">
        <v>48800</v>
      </c>
      <c r="I85" s="5">
        <f t="shared" si="5"/>
        <v>11873040000</v>
      </c>
      <c r="J85" s="6" t="s">
        <v>21</v>
      </c>
      <c r="K85" s="6">
        <f t="shared" si="6"/>
        <v>30056.471440000001</v>
      </c>
      <c r="L85" s="10">
        <f t="shared" si="7"/>
        <v>18743.528559999999</v>
      </c>
      <c r="M85" s="10">
        <f t="shared" si="8"/>
        <v>4560300498.6479998</v>
      </c>
      <c r="N85" s="10"/>
      <c r="O85" s="26"/>
    </row>
    <row r="86" spans="1:21" x14ac:dyDescent="0.3">
      <c r="A86" s="3">
        <v>45473</v>
      </c>
      <c r="B86" s="22" t="s">
        <v>44</v>
      </c>
      <c r="C86" s="25">
        <v>2024</v>
      </c>
      <c r="D86" s="3" t="s">
        <v>7</v>
      </c>
      <c r="E86" t="s">
        <v>5</v>
      </c>
      <c r="F86" t="s">
        <v>15</v>
      </c>
      <c r="G86" s="4">
        <v>240000</v>
      </c>
      <c r="H86" s="5">
        <v>12300</v>
      </c>
      <c r="I86" s="5">
        <f t="shared" si="5"/>
        <v>2952000000</v>
      </c>
      <c r="J86" s="6" t="s">
        <v>21</v>
      </c>
      <c r="K86" s="6">
        <f t="shared" si="6"/>
        <v>7995</v>
      </c>
      <c r="L86" s="10">
        <f t="shared" si="7"/>
        <v>4305</v>
      </c>
      <c r="M86" s="10">
        <f t="shared" si="8"/>
        <v>1033200000</v>
      </c>
      <c r="N86" s="10"/>
      <c r="O86" s="26"/>
    </row>
    <row r="87" spans="1:21" x14ac:dyDescent="0.3">
      <c r="A87" s="3">
        <v>45473</v>
      </c>
      <c r="B87" s="22" t="s">
        <v>44</v>
      </c>
      <c r="C87" s="25">
        <v>2024</v>
      </c>
      <c r="D87" s="3" t="s">
        <v>8</v>
      </c>
      <c r="E87" t="s">
        <v>2</v>
      </c>
      <c r="F87" t="s">
        <v>15</v>
      </c>
      <c r="G87" s="4">
        <v>800</v>
      </c>
      <c r="H87" s="5">
        <v>56750</v>
      </c>
      <c r="I87" s="5">
        <f t="shared" si="5"/>
        <v>45400000</v>
      </c>
      <c r="J87" s="6" t="s">
        <v>21</v>
      </c>
      <c r="K87" s="6">
        <f t="shared" si="6"/>
        <v>38419.75</v>
      </c>
      <c r="L87" s="10">
        <f t="shared" si="7"/>
        <v>18330.25</v>
      </c>
      <c r="M87" s="10">
        <f t="shared" si="8"/>
        <v>14664200</v>
      </c>
      <c r="N87" s="10"/>
      <c r="O87" s="26"/>
    </row>
    <row r="88" spans="1:21" x14ac:dyDescent="0.3">
      <c r="A88" s="3">
        <v>45473</v>
      </c>
      <c r="B88" s="22" t="s">
        <v>44</v>
      </c>
      <c r="C88" s="25">
        <v>2024</v>
      </c>
      <c r="D88" s="3" t="s">
        <v>8</v>
      </c>
      <c r="E88" t="s">
        <v>3</v>
      </c>
      <c r="F88" t="s">
        <v>15</v>
      </c>
      <c r="G88" s="4">
        <v>195700</v>
      </c>
      <c r="H88" s="5">
        <v>54550</v>
      </c>
      <c r="I88" s="5">
        <f t="shared" si="5"/>
        <v>10675435000</v>
      </c>
      <c r="J88" s="6" t="s">
        <v>21</v>
      </c>
      <c r="K88" s="6">
        <f t="shared" si="6"/>
        <v>36548.5</v>
      </c>
      <c r="L88" s="10">
        <f t="shared" si="7"/>
        <v>18001.5</v>
      </c>
      <c r="M88" s="10">
        <f t="shared" si="8"/>
        <v>3522893550</v>
      </c>
      <c r="N88" s="10"/>
      <c r="O88" s="26"/>
    </row>
    <row r="89" spans="1:21" x14ac:dyDescent="0.3">
      <c r="A89" s="3">
        <v>45473</v>
      </c>
      <c r="B89" s="22" t="s">
        <v>44</v>
      </c>
      <c r="C89" s="25">
        <v>2024</v>
      </c>
      <c r="D89" s="3" t="s">
        <v>8</v>
      </c>
      <c r="E89" t="s">
        <v>4</v>
      </c>
      <c r="F89" t="s">
        <v>16</v>
      </c>
      <c r="G89" s="4">
        <v>250000</v>
      </c>
      <c r="H89" s="5">
        <v>48800</v>
      </c>
      <c r="I89" s="5">
        <f t="shared" si="5"/>
        <v>12200000000</v>
      </c>
      <c r="J89" s="6" t="s">
        <v>21</v>
      </c>
      <c r="K89" s="6">
        <f t="shared" si="6"/>
        <v>30056.471440000001</v>
      </c>
      <c r="L89" s="10">
        <f t="shared" si="7"/>
        <v>18743.528559999999</v>
      </c>
      <c r="M89" s="10">
        <f t="shared" si="8"/>
        <v>4685882140</v>
      </c>
      <c r="N89" s="10"/>
      <c r="O89" s="26"/>
    </row>
    <row r="90" spans="1:21" x14ac:dyDescent="0.3">
      <c r="A90" s="3">
        <v>45473</v>
      </c>
      <c r="B90" s="22" t="s">
        <v>44</v>
      </c>
      <c r="C90" s="25">
        <v>2024</v>
      </c>
      <c r="D90" s="3" t="s">
        <v>8</v>
      </c>
      <c r="E90" t="s">
        <v>5</v>
      </c>
      <c r="F90" t="s">
        <v>15</v>
      </c>
      <c r="G90" s="4">
        <v>232450</v>
      </c>
      <c r="H90" s="5">
        <v>12300</v>
      </c>
      <c r="I90" s="5">
        <f t="shared" si="5"/>
        <v>2859135000</v>
      </c>
      <c r="J90" s="6" t="s">
        <v>21</v>
      </c>
      <c r="K90" s="6">
        <f t="shared" si="6"/>
        <v>7995</v>
      </c>
      <c r="L90" s="10">
        <f t="shared" si="7"/>
        <v>4305</v>
      </c>
      <c r="M90" s="10">
        <f t="shared" si="8"/>
        <v>1000697250</v>
      </c>
      <c r="N90" s="10"/>
      <c r="O90" s="26"/>
    </row>
    <row r="91" spans="1:21" x14ac:dyDescent="0.3">
      <c r="A91" s="3">
        <v>45473</v>
      </c>
      <c r="B91" s="22" t="s">
        <v>44</v>
      </c>
      <c r="C91" s="25">
        <v>2024</v>
      </c>
      <c r="D91" s="3" t="s">
        <v>9</v>
      </c>
      <c r="E91" t="s">
        <v>2</v>
      </c>
      <c r="F91" t="s">
        <v>15</v>
      </c>
      <c r="G91" s="4">
        <v>900</v>
      </c>
      <c r="H91" s="5">
        <v>56750</v>
      </c>
      <c r="I91" s="5">
        <f t="shared" si="5"/>
        <v>51075000</v>
      </c>
      <c r="J91" s="6" t="s">
        <v>21</v>
      </c>
      <c r="K91" s="6">
        <f t="shared" si="6"/>
        <v>38419.75</v>
      </c>
      <c r="L91" s="10">
        <f t="shared" si="7"/>
        <v>18330.25</v>
      </c>
      <c r="M91" s="10">
        <f t="shared" si="8"/>
        <v>16497225</v>
      </c>
      <c r="N91" s="10"/>
      <c r="O91" s="26"/>
    </row>
    <row r="92" spans="1:21" x14ac:dyDescent="0.3">
      <c r="A92" s="3">
        <v>45473</v>
      </c>
      <c r="B92" s="22" t="s">
        <v>44</v>
      </c>
      <c r="C92" s="25">
        <v>2024</v>
      </c>
      <c r="D92" s="3" t="s">
        <v>9</v>
      </c>
      <c r="E92" t="s">
        <v>3</v>
      </c>
      <c r="F92" t="s">
        <v>15</v>
      </c>
      <c r="G92" s="4">
        <v>210000</v>
      </c>
      <c r="H92" s="5">
        <v>54550</v>
      </c>
      <c r="I92" s="5">
        <f t="shared" si="5"/>
        <v>11455500000</v>
      </c>
      <c r="J92" s="6" t="s">
        <v>21</v>
      </c>
      <c r="K92" s="6">
        <f t="shared" si="6"/>
        <v>36548.5</v>
      </c>
      <c r="L92" s="10">
        <f t="shared" si="7"/>
        <v>18001.5</v>
      </c>
      <c r="M92" s="10">
        <f t="shared" si="8"/>
        <v>3780315000</v>
      </c>
      <c r="N92" s="10"/>
      <c r="O92" s="26"/>
    </row>
    <row r="93" spans="1:21" x14ac:dyDescent="0.3">
      <c r="A93" s="3">
        <v>45473</v>
      </c>
      <c r="B93" s="22" t="s">
        <v>44</v>
      </c>
      <c r="C93" s="25">
        <v>2024</v>
      </c>
      <c r="D93" s="3" t="s">
        <v>9</v>
      </c>
      <c r="E93" t="s">
        <v>4</v>
      </c>
      <c r="F93" t="s">
        <v>16</v>
      </c>
      <c r="G93" s="4">
        <v>266000</v>
      </c>
      <c r="H93" s="5">
        <v>48800</v>
      </c>
      <c r="I93" s="5">
        <f t="shared" si="5"/>
        <v>12980800000</v>
      </c>
      <c r="J93" s="6" t="s">
        <v>21</v>
      </c>
      <c r="K93" s="6">
        <f t="shared" si="6"/>
        <v>30056.471440000001</v>
      </c>
      <c r="L93" s="10">
        <f t="shared" si="7"/>
        <v>18743.528559999999</v>
      </c>
      <c r="M93" s="10">
        <f t="shared" si="8"/>
        <v>4985778596.96</v>
      </c>
      <c r="N93" s="10"/>
      <c r="O93" s="26"/>
    </row>
    <row r="94" spans="1:21" x14ac:dyDescent="0.3">
      <c r="A94" s="3">
        <v>45473</v>
      </c>
      <c r="B94" s="22" t="s">
        <v>44</v>
      </c>
      <c r="C94" s="25">
        <v>2024</v>
      </c>
      <c r="D94" s="3" t="s">
        <v>9</v>
      </c>
      <c r="E94" t="s">
        <v>5</v>
      </c>
      <c r="F94" t="s">
        <v>15</v>
      </c>
      <c r="G94" s="4">
        <v>240000</v>
      </c>
      <c r="H94" s="5">
        <v>12300</v>
      </c>
      <c r="I94" s="5">
        <f t="shared" si="5"/>
        <v>2952000000</v>
      </c>
      <c r="J94" s="6" t="s">
        <v>21</v>
      </c>
      <c r="K94" s="6">
        <f t="shared" si="6"/>
        <v>7995</v>
      </c>
      <c r="L94" s="10">
        <f t="shared" si="7"/>
        <v>4305</v>
      </c>
      <c r="M94" s="10">
        <f t="shared" si="8"/>
        <v>1033200000</v>
      </c>
      <c r="N94" s="10"/>
      <c r="O94" s="26"/>
      <c r="Q94" s="7" t="s">
        <v>29</v>
      </c>
      <c r="R94" s="27">
        <f>SUM(I51,I55,I59,I63,I67,I71,I75,I79,I83,I87,I91,I95)</f>
        <v>618007500</v>
      </c>
    </row>
    <row r="95" spans="1:21" x14ac:dyDescent="0.3">
      <c r="A95" s="3">
        <v>45473</v>
      </c>
      <c r="B95" s="22" t="s">
        <v>44</v>
      </c>
      <c r="C95" s="25">
        <v>2024</v>
      </c>
      <c r="D95" s="3" t="s">
        <v>10</v>
      </c>
      <c r="E95" t="s">
        <v>2</v>
      </c>
      <c r="F95" t="s">
        <v>15</v>
      </c>
      <c r="G95" s="4">
        <v>820</v>
      </c>
      <c r="H95" s="5">
        <v>56750</v>
      </c>
      <c r="I95" s="5">
        <f t="shared" si="5"/>
        <v>46535000</v>
      </c>
      <c r="J95" s="6" t="s">
        <v>21</v>
      </c>
      <c r="K95" s="6">
        <f t="shared" si="6"/>
        <v>38419.75</v>
      </c>
      <c r="L95" s="10">
        <f t="shared" si="7"/>
        <v>18330.25</v>
      </c>
      <c r="M95" s="10">
        <f t="shared" si="8"/>
        <v>15030805</v>
      </c>
      <c r="N95" s="10"/>
      <c r="O95" s="26"/>
      <c r="Q95" s="7" t="s">
        <v>26</v>
      </c>
      <c r="R95" s="27">
        <f>SUM(I52,I56,I60,I64,I68,I72,I76,I80,I84,I88,I92,I96)</f>
        <v>131503685000</v>
      </c>
    </row>
    <row r="96" spans="1:21" x14ac:dyDescent="0.3">
      <c r="A96" s="3">
        <v>45473</v>
      </c>
      <c r="B96" s="22" t="s">
        <v>44</v>
      </c>
      <c r="C96" s="25">
        <v>2024</v>
      </c>
      <c r="D96" s="3" t="s">
        <v>10</v>
      </c>
      <c r="E96" t="s">
        <v>3</v>
      </c>
      <c r="F96" t="s">
        <v>15</v>
      </c>
      <c r="G96" s="4">
        <v>215000</v>
      </c>
      <c r="H96" s="5">
        <v>54550</v>
      </c>
      <c r="I96" s="5">
        <f t="shared" si="5"/>
        <v>11728250000</v>
      </c>
      <c r="J96" s="6" t="s">
        <v>21</v>
      </c>
      <c r="K96" s="6">
        <f t="shared" si="6"/>
        <v>36548.5</v>
      </c>
      <c r="L96" s="10">
        <f t="shared" si="7"/>
        <v>18001.5</v>
      </c>
      <c r="M96" s="10">
        <f t="shared" si="8"/>
        <v>3870322500</v>
      </c>
      <c r="N96" s="10"/>
      <c r="O96" s="26"/>
      <c r="Q96" s="7" t="s">
        <v>27</v>
      </c>
      <c r="R96" s="27">
        <f>SUM(I53,I57,I61,I65,I69,I73,I77,I81,I85,I89,I93,I97)</f>
        <v>149362160000</v>
      </c>
    </row>
    <row r="97" spans="1:21" x14ac:dyDescent="0.3">
      <c r="A97" s="3">
        <v>45473</v>
      </c>
      <c r="B97" s="22" t="s">
        <v>44</v>
      </c>
      <c r="C97" s="25">
        <v>2024</v>
      </c>
      <c r="D97" s="3" t="s">
        <v>10</v>
      </c>
      <c r="E97" t="s">
        <v>4</v>
      </c>
      <c r="F97" t="s">
        <v>16</v>
      </c>
      <c r="G97" s="4">
        <v>270000</v>
      </c>
      <c r="H97" s="5">
        <v>48800</v>
      </c>
      <c r="I97" s="5">
        <f t="shared" si="5"/>
        <v>13176000000</v>
      </c>
      <c r="J97" s="6" t="s">
        <v>21</v>
      </c>
      <c r="K97" s="6">
        <f t="shared" si="6"/>
        <v>30056.471440000001</v>
      </c>
      <c r="L97" s="10">
        <f t="shared" si="7"/>
        <v>18743.528559999999</v>
      </c>
      <c r="M97" s="10">
        <f t="shared" si="8"/>
        <v>5060752711.1999998</v>
      </c>
      <c r="N97" s="10"/>
      <c r="O97" s="26"/>
      <c r="Q97" s="7" t="s">
        <v>28</v>
      </c>
      <c r="R97" s="27">
        <f>SUM(I54,I58,I62,I66,I70,I74,I78,I82,I86,I90,I94,I98)</f>
        <v>36965805000</v>
      </c>
    </row>
    <row r="98" spans="1:21" x14ac:dyDescent="0.3">
      <c r="A98" s="3">
        <v>45473</v>
      </c>
      <c r="B98" s="22" t="s">
        <v>44</v>
      </c>
      <c r="C98" s="25">
        <v>2024</v>
      </c>
      <c r="D98" s="3" t="s">
        <v>10</v>
      </c>
      <c r="E98" t="s">
        <v>5</v>
      </c>
      <c r="F98" t="s">
        <v>15</v>
      </c>
      <c r="G98" s="4">
        <v>297000</v>
      </c>
      <c r="H98" s="5">
        <v>12300</v>
      </c>
      <c r="I98" s="5">
        <f t="shared" si="5"/>
        <v>3653100000</v>
      </c>
      <c r="J98" s="6" t="s">
        <v>21</v>
      </c>
      <c r="K98" s="6">
        <f t="shared" si="6"/>
        <v>7995</v>
      </c>
      <c r="L98" s="10">
        <f t="shared" si="7"/>
        <v>4305</v>
      </c>
      <c r="M98" s="10">
        <f t="shared" si="8"/>
        <v>1278585000</v>
      </c>
      <c r="N98" s="10"/>
      <c r="O98" s="26"/>
      <c r="Q98" s="7" t="s">
        <v>30</v>
      </c>
      <c r="R98" s="27">
        <f>SUM(R94:R97)</f>
        <v>318449657500</v>
      </c>
      <c r="U98" s="5"/>
    </row>
    <row r="99" spans="1:21" x14ac:dyDescent="0.3">
      <c r="A99" s="3">
        <v>45504</v>
      </c>
      <c r="B99" s="22" t="s">
        <v>45</v>
      </c>
      <c r="C99" s="25">
        <v>2024</v>
      </c>
      <c r="D99" s="3" t="s">
        <v>7</v>
      </c>
      <c r="E99" t="s">
        <v>2</v>
      </c>
      <c r="F99" t="s">
        <v>15</v>
      </c>
      <c r="G99" s="4">
        <v>580</v>
      </c>
      <c r="H99" s="5">
        <v>56750</v>
      </c>
      <c r="I99" s="5">
        <f t="shared" si="5"/>
        <v>32915000</v>
      </c>
      <c r="J99" s="6" t="s">
        <v>22</v>
      </c>
      <c r="K99" s="6">
        <f t="shared" si="6"/>
        <v>38419.75</v>
      </c>
      <c r="L99" s="10">
        <f t="shared" si="7"/>
        <v>18330.25</v>
      </c>
      <c r="M99" s="10">
        <f t="shared" si="8"/>
        <v>10631545</v>
      </c>
      <c r="N99" s="10"/>
      <c r="O99" s="26"/>
    </row>
    <row r="100" spans="1:21" x14ac:dyDescent="0.3">
      <c r="A100" s="3">
        <v>45504</v>
      </c>
      <c r="B100" s="22" t="s">
        <v>45</v>
      </c>
      <c r="C100" s="25">
        <v>2024</v>
      </c>
      <c r="D100" s="3" t="s">
        <v>7</v>
      </c>
      <c r="E100" t="s">
        <v>3</v>
      </c>
      <c r="F100" t="s">
        <v>15</v>
      </c>
      <c r="G100" s="4">
        <v>368000</v>
      </c>
      <c r="H100" s="5">
        <v>54550</v>
      </c>
      <c r="I100" s="5">
        <f t="shared" si="5"/>
        <v>20074400000</v>
      </c>
      <c r="J100" s="6" t="s">
        <v>22</v>
      </c>
      <c r="K100" s="6">
        <f t="shared" si="6"/>
        <v>36548.5</v>
      </c>
      <c r="L100" s="10">
        <f t="shared" si="7"/>
        <v>18001.5</v>
      </c>
      <c r="M100" s="10">
        <f t="shared" si="8"/>
        <v>6624552000</v>
      </c>
      <c r="N100" s="10"/>
      <c r="O100" s="26"/>
    </row>
    <row r="101" spans="1:21" x14ac:dyDescent="0.3">
      <c r="A101" s="3">
        <v>45504</v>
      </c>
      <c r="B101" s="22" t="s">
        <v>45</v>
      </c>
      <c r="C101" s="25">
        <v>2024</v>
      </c>
      <c r="D101" s="3" t="s">
        <v>7</v>
      </c>
      <c r="E101" t="s">
        <v>4</v>
      </c>
      <c r="F101" t="s">
        <v>16</v>
      </c>
      <c r="G101" s="4">
        <v>265000</v>
      </c>
      <c r="H101" s="5">
        <v>48800</v>
      </c>
      <c r="I101" s="5">
        <f t="shared" si="5"/>
        <v>12932000000</v>
      </c>
      <c r="J101" s="6" t="s">
        <v>22</v>
      </c>
      <c r="K101" s="6">
        <f t="shared" si="6"/>
        <v>30056.471440000001</v>
      </c>
      <c r="L101" s="10">
        <f t="shared" si="7"/>
        <v>18743.528559999999</v>
      </c>
      <c r="M101" s="10">
        <f t="shared" si="8"/>
        <v>4967035068.3999996</v>
      </c>
      <c r="N101" s="10"/>
      <c r="O101" s="26"/>
    </row>
    <row r="102" spans="1:21" x14ac:dyDescent="0.3">
      <c r="A102" s="3">
        <v>45504</v>
      </c>
      <c r="B102" s="22" t="s">
        <v>45</v>
      </c>
      <c r="C102" s="25">
        <v>2024</v>
      </c>
      <c r="D102" s="3" t="s">
        <v>7</v>
      </c>
      <c r="E102" t="s">
        <v>5</v>
      </c>
      <c r="F102" t="s">
        <v>15</v>
      </c>
      <c r="G102" s="4">
        <v>380000</v>
      </c>
      <c r="H102" s="5">
        <v>12300</v>
      </c>
      <c r="I102" s="5">
        <f t="shared" si="5"/>
        <v>4674000000</v>
      </c>
      <c r="J102" s="6" t="s">
        <v>22</v>
      </c>
      <c r="K102" s="6">
        <f t="shared" si="6"/>
        <v>7995</v>
      </c>
      <c r="L102" s="10">
        <f t="shared" si="7"/>
        <v>4305</v>
      </c>
      <c r="M102" s="10">
        <f t="shared" si="8"/>
        <v>1635900000</v>
      </c>
      <c r="N102" s="10"/>
      <c r="O102" s="26"/>
    </row>
    <row r="103" spans="1:21" x14ac:dyDescent="0.3">
      <c r="A103" s="3">
        <v>45504</v>
      </c>
      <c r="B103" s="22" t="s">
        <v>45</v>
      </c>
      <c r="C103" s="25">
        <v>2024</v>
      </c>
      <c r="D103" s="3" t="s">
        <v>8</v>
      </c>
      <c r="E103" t="s">
        <v>2</v>
      </c>
      <c r="F103" t="s">
        <v>15</v>
      </c>
      <c r="G103" s="4">
        <v>340</v>
      </c>
      <c r="H103" s="5">
        <v>56750</v>
      </c>
      <c r="I103" s="5">
        <f t="shared" si="5"/>
        <v>19295000</v>
      </c>
      <c r="J103" s="6" t="s">
        <v>22</v>
      </c>
      <c r="K103" s="6">
        <f t="shared" si="6"/>
        <v>38419.75</v>
      </c>
      <c r="L103" s="10">
        <f t="shared" si="7"/>
        <v>18330.25</v>
      </c>
      <c r="M103" s="10">
        <f t="shared" si="8"/>
        <v>6232285</v>
      </c>
      <c r="N103" s="10"/>
      <c r="O103" s="26"/>
    </row>
    <row r="104" spans="1:21" x14ac:dyDescent="0.3">
      <c r="A104" s="3">
        <v>45504</v>
      </c>
      <c r="B104" s="22" t="s">
        <v>45</v>
      </c>
      <c r="C104" s="25">
        <v>2024</v>
      </c>
      <c r="D104" s="3" t="s">
        <v>8</v>
      </c>
      <c r="E104" t="s">
        <v>3</v>
      </c>
      <c r="F104" t="s">
        <v>15</v>
      </c>
      <c r="G104" s="4">
        <v>219000</v>
      </c>
      <c r="H104" s="5">
        <v>54550</v>
      </c>
      <c r="I104" s="5">
        <f t="shared" si="5"/>
        <v>11946450000</v>
      </c>
      <c r="J104" s="6" t="s">
        <v>22</v>
      </c>
      <c r="K104" s="6">
        <f t="shared" si="6"/>
        <v>36548.5</v>
      </c>
      <c r="L104" s="10">
        <f t="shared" si="7"/>
        <v>18001.5</v>
      </c>
      <c r="M104" s="10">
        <f t="shared" si="8"/>
        <v>3942328500</v>
      </c>
      <c r="N104" s="10"/>
      <c r="O104" s="26"/>
    </row>
    <row r="105" spans="1:21" x14ac:dyDescent="0.3">
      <c r="A105" s="3">
        <v>45504</v>
      </c>
      <c r="B105" s="22" t="s">
        <v>45</v>
      </c>
      <c r="C105" s="25">
        <v>2024</v>
      </c>
      <c r="D105" s="3" t="s">
        <v>8</v>
      </c>
      <c r="E105" t="s">
        <v>4</v>
      </c>
      <c r="F105" t="s">
        <v>16</v>
      </c>
      <c r="G105" s="4">
        <v>320000</v>
      </c>
      <c r="H105" s="5">
        <v>48800</v>
      </c>
      <c r="I105" s="5">
        <f t="shared" si="5"/>
        <v>15616000000</v>
      </c>
      <c r="J105" s="6" t="s">
        <v>22</v>
      </c>
      <c r="K105" s="6">
        <f t="shared" si="6"/>
        <v>30056.471440000001</v>
      </c>
      <c r="L105" s="10">
        <f t="shared" si="7"/>
        <v>18743.528559999999</v>
      </c>
      <c r="M105" s="10">
        <f t="shared" si="8"/>
        <v>5997929139.1999998</v>
      </c>
      <c r="N105" s="10"/>
      <c r="O105" s="26"/>
    </row>
    <row r="106" spans="1:21" x14ac:dyDescent="0.3">
      <c r="A106" s="3">
        <v>45504</v>
      </c>
      <c r="B106" s="22" t="s">
        <v>45</v>
      </c>
      <c r="C106" s="25">
        <v>2024</v>
      </c>
      <c r="D106" s="3" t="s">
        <v>8</v>
      </c>
      <c r="E106" t="s">
        <v>5</v>
      </c>
      <c r="F106" t="s">
        <v>15</v>
      </c>
      <c r="G106" s="4">
        <v>450000</v>
      </c>
      <c r="H106" s="5">
        <v>12300</v>
      </c>
      <c r="I106" s="5">
        <f t="shared" ref="I106:I169" si="9">H106*G106</f>
        <v>5535000000</v>
      </c>
      <c r="J106" s="6" t="s">
        <v>22</v>
      </c>
      <c r="K106" s="6">
        <f t="shared" si="6"/>
        <v>7995</v>
      </c>
      <c r="L106" s="10">
        <f t="shared" si="7"/>
        <v>4305</v>
      </c>
      <c r="M106" s="10">
        <f t="shared" si="8"/>
        <v>1937250000</v>
      </c>
      <c r="N106" s="10"/>
      <c r="O106" s="26"/>
    </row>
    <row r="107" spans="1:21" x14ac:dyDescent="0.3">
      <c r="A107" s="3">
        <v>45504</v>
      </c>
      <c r="B107" s="22" t="s">
        <v>45</v>
      </c>
      <c r="C107" s="25">
        <v>2024</v>
      </c>
      <c r="D107" s="3" t="s">
        <v>9</v>
      </c>
      <c r="E107" t="s">
        <v>2</v>
      </c>
      <c r="F107" t="s">
        <v>15</v>
      </c>
      <c r="G107" s="4">
        <v>400</v>
      </c>
      <c r="H107" s="5">
        <v>56750</v>
      </c>
      <c r="I107" s="5">
        <f t="shared" si="9"/>
        <v>22700000</v>
      </c>
      <c r="J107" s="6" t="s">
        <v>22</v>
      </c>
      <c r="K107" s="6">
        <f t="shared" si="6"/>
        <v>38419.75</v>
      </c>
      <c r="L107" s="10">
        <f t="shared" si="7"/>
        <v>18330.25</v>
      </c>
      <c r="M107" s="10">
        <f t="shared" si="8"/>
        <v>7332100</v>
      </c>
      <c r="N107" s="10"/>
      <c r="O107" s="26"/>
    </row>
    <row r="108" spans="1:21" x14ac:dyDescent="0.3">
      <c r="A108" s="3">
        <v>45504</v>
      </c>
      <c r="B108" s="22" t="s">
        <v>45</v>
      </c>
      <c r="C108" s="25">
        <v>2024</v>
      </c>
      <c r="D108" s="3" t="s">
        <v>9</v>
      </c>
      <c r="E108" t="s">
        <v>3</v>
      </c>
      <c r="F108" t="s">
        <v>15</v>
      </c>
      <c r="G108" s="4">
        <v>228000</v>
      </c>
      <c r="H108" s="5">
        <v>54550</v>
      </c>
      <c r="I108" s="5">
        <f t="shared" si="9"/>
        <v>12437400000</v>
      </c>
      <c r="J108" s="6" t="s">
        <v>22</v>
      </c>
      <c r="K108" s="6">
        <f t="shared" si="6"/>
        <v>36548.5</v>
      </c>
      <c r="L108" s="10">
        <f t="shared" si="7"/>
        <v>18001.5</v>
      </c>
      <c r="M108" s="10">
        <f t="shared" si="8"/>
        <v>4104342000</v>
      </c>
      <c r="N108" s="10"/>
      <c r="O108" s="26"/>
    </row>
    <row r="109" spans="1:21" x14ac:dyDescent="0.3">
      <c r="A109" s="3">
        <v>45504</v>
      </c>
      <c r="B109" s="22" t="s">
        <v>45</v>
      </c>
      <c r="C109" s="25">
        <v>2024</v>
      </c>
      <c r="D109" s="3" t="s">
        <v>9</v>
      </c>
      <c r="E109" t="s">
        <v>4</v>
      </c>
      <c r="F109" t="s">
        <v>16</v>
      </c>
      <c r="G109" s="4">
        <v>303000</v>
      </c>
      <c r="H109" s="5">
        <v>48800</v>
      </c>
      <c r="I109" s="5">
        <f t="shared" si="9"/>
        <v>14786400000</v>
      </c>
      <c r="J109" s="6" t="s">
        <v>22</v>
      </c>
      <c r="K109" s="6">
        <f t="shared" si="6"/>
        <v>30056.471440000001</v>
      </c>
      <c r="L109" s="10">
        <f t="shared" si="7"/>
        <v>18743.528559999999</v>
      </c>
      <c r="M109" s="10">
        <f t="shared" si="8"/>
        <v>5679289153.6799994</v>
      </c>
      <c r="N109" s="10"/>
      <c r="O109" s="26"/>
    </row>
    <row r="110" spans="1:21" x14ac:dyDescent="0.3">
      <c r="A110" s="3">
        <v>45504</v>
      </c>
      <c r="B110" s="22" t="s">
        <v>45</v>
      </c>
      <c r="C110" s="25">
        <v>2024</v>
      </c>
      <c r="D110" s="3" t="s">
        <v>9</v>
      </c>
      <c r="E110" t="s">
        <v>5</v>
      </c>
      <c r="F110" t="s">
        <v>15</v>
      </c>
      <c r="G110" s="4">
        <v>449000</v>
      </c>
      <c r="H110" s="5">
        <v>12300</v>
      </c>
      <c r="I110" s="5">
        <f t="shared" si="9"/>
        <v>5522700000</v>
      </c>
      <c r="J110" s="6" t="s">
        <v>22</v>
      </c>
      <c r="K110" s="6">
        <f t="shared" si="6"/>
        <v>7995</v>
      </c>
      <c r="L110" s="10">
        <f t="shared" si="7"/>
        <v>4305</v>
      </c>
      <c r="M110" s="10">
        <f t="shared" si="8"/>
        <v>1932945000</v>
      </c>
      <c r="N110" s="10"/>
      <c r="O110" s="26"/>
    </row>
    <row r="111" spans="1:21" x14ac:dyDescent="0.3">
      <c r="A111" s="3">
        <v>45504</v>
      </c>
      <c r="B111" s="22" t="s">
        <v>45</v>
      </c>
      <c r="C111" s="25">
        <v>2024</v>
      </c>
      <c r="D111" s="3" t="s">
        <v>10</v>
      </c>
      <c r="E111" t="s">
        <v>2</v>
      </c>
      <c r="F111" t="s">
        <v>15</v>
      </c>
      <c r="G111" s="4">
        <v>580</v>
      </c>
      <c r="H111" s="5">
        <v>56750</v>
      </c>
      <c r="I111" s="5">
        <f t="shared" si="9"/>
        <v>32915000</v>
      </c>
      <c r="J111" s="6" t="s">
        <v>22</v>
      </c>
      <c r="K111" s="6">
        <f t="shared" si="6"/>
        <v>38419.75</v>
      </c>
      <c r="L111" s="10">
        <f t="shared" si="7"/>
        <v>18330.25</v>
      </c>
      <c r="M111" s="10">
        <f t="shared" si="8"/>
        <v>10631545</v>
      </c>
      <c r="N111" s="10"/>
      <c r="O111" s="26"/>
    </row>
    <row r="112" spans="1:21" x14ac:dyDescent="0.3">
      <c r="A112" s="3">
        <v>45504</v>
      </c>
      <c r="B112" s="22" t="s">
        <v>45</v>
      </c>
      <c r="C112" s="25">
        <v>2024</v>
      </c>
      <c r="D112" s="3" t="s">
        <v>10</v>
      </c>
      <c r="E112" t="s">
        <v>3</v>
      </c>
      <c r="F112" t="s">
        <v>15</v>
      </c>
      <c r="G112" s="4">
        <v>286000</v>
      </c>
      <c r="H112" s="5">
        <v>54550</v>
      </c>
      <c r="I112" s="5">
        <f t="shared" si="9"/>
        <v>15601300000</v>
      </c>
      <c r="J112" s="6" t="s">
        <v>22</v>
      </c>
      <c r="K112" s="6">
        <f t="shared" si="6"/>
        <v>36548.5</v>
      </c>
      <c r="L112" s="10">
        <f t="shared" si="7"/>
        <v>18001.5</v>
      </c>
      <c r="M112" s="10">
        <f t="shared" si="8"/>
        <v>5148429000</v>
      </c>
      <c r="N112" s="10"/>
      <c r="O112" s="26"/>
    </row>
    <row r="113" spans="1:21" x14ac:dyDescent="0.3">
      <c r="A113" s="3">
        <v>45504</v>
      </c>
      <c r="B113" s="22" t="s">
        <v>45</v>
      </c>
      <c r="C113" s="25">
        <v>2024</v>
      </c>
      <c r="D113" s="3" t="s">
        <v>10</v>
      </c>
      <c r="E113" t="s">
        <v>4</v>
      </c>
      <c r="F113" t="s">
        <v>16</v>
      </c>
      <c r="G113" s="4">
        <v>249000</v>
      </c>
      <c r="H113" s="5">
        <v>48800</v>
      </c>
      <c r="I113" s="5">
        <f t="shared" si="9"/>
        <v>12151200000</v>
      </c>
      <c r="J113" s="6" t="s">
        <v>22</v>
      </c>
      <c r="K113" s="6">
        <f t="shared" si="6"/>
        <v>30056.471440000001</v>
      </c>
      <c r="L113" s="10">
        <f t="shared" si="7"/>
        <v>18743.528559999999</v>
      </c>
      <c r="M113" s="10">
        <f t="shared" si="8"/>
        <v>4667138611.4399996</v>
      </c>
      <c r="N113" s="10"/>
      <c r="O113" s="26"/>
    </row>
    <row r="114" spans="1:21" x14ac:dyDescent="0.3">
      <c r="A114" s="3">
        <v>45504</v>
      </c>
      <c r="B114" s="22" t="s">
        <v>45</v>
      </c>
      <c r="C114" s="25">
        <v>2024</v>
      </c>
      <c r="D114" s="3" t="s">
        <v>10</v>
      </c>
      <c r="E114" t="s">
        <v>5</v>
      </c>
      <c r="F114" t="s">
        <v>15</v>
      </c>
      <c r="G114" s="4">
        <v>350000</v>
      </c>
      <c r="H114" s="5">
        <v>12300</v>
      </c>
      <c r="I114" s="5">
        <f t="shared" si="9"/>
        <v>4305000000</v>
      </c>
      <c r="J114" s="6" t="s">
        <v>22</v>
      </c>
      <c r="K114" s="6">
        <f t="shared" si="6"/>
        <v>7995</v>
      </c>
      <c r="L114" s="10">
        <f t="shared" si="7"/>
        <v>4305</v>
      </c>
      <c r="M114" s="10">
        <f t="shared" si="8"/>
        <v>1506750000</v>
      </c>
      <c r="N114" s="10"/>
      <c r="O114" s="26"/>
      <c r="U114" s="5"/>
    </row>
    <row r="115" spans="1:21" x14ac:dyDescent="0.3">
      <c r="A115" s="3">
        <v>45535</v>
      </c>
      <c r="B115" s="22" t="s">
        <v>46</v>
      </c>
      <c r="C115" s="25">
        <v>2024</v>
      </c>
      <c r="D115" s="3" t="s">
        <v>7</v>
      </c>
      <c r="E115" t="s">
        <v>2</v>
      </c>
      <c r="F115" t="s">
        <v>15</v>
      </c>
      <c r="G115" s="4">
        <v>418</v>
      </c>
      <c r="H115" s="5">
        <v>56750</v>
      </c>
      <c r="I115" s="5">
        <f t="shared" si="9"/>
        <v>23721500</v>
      </c>
      <c r="J115" s="6" t="s">
        <v>22</v>
      </c>
      <c r="K115" s="6">
        <f t="shared" si="6"/>
        <v>38419.75</v>
      </c>
      <c r="L115" s="10">
        <f t="shared" si="7"/>
        <v>18330.25</v>
      </c>
      <c r="M115" s="10">
        <f t="shared" si="8"/>
        <v>7662044.5</v>
      </c>
      <c r="N115" s="10"/>
      <c r="O115" s="26"/>
    </row>
    <row r="116" spans="1:21" x14ac:dyDescent="0.3">
      <c r="A116" s="3">
        <v>45535</v>
      </c>
      <c r="B116" s="22" t="s">
        <v>46</v>
      </c>
      <c r="C116" s="25">
        <v>2024</v>
      </c>
      <c r="D116" s="3" t="s">
        <v>7</v>
      </c>
      <c r="E116" t="s">
        <v>3</v>
      </c>
      <c r="F116" t="s">
        <v>15</v>
      </c>
      <c r="G116" s="4">
        <v>355000</v>
      </c>
      <c r="H116" s="5">
        <v>54550</v>
      </c>
      <c r="I116" s="5">
        <f t="shared" si="9"/>
        <v>19365250000</v>
      </c>
      <c r="J116" s="6" t="s">
        <v>22</v>
      </c>
      <c r="K116" s="6">
        <f t="shared" si="6"/>
        <v>36548.5</v>
      </c>
      <c r="L116" s="10">
        <f t="shared" si="7"/>
        <v>18001.5</v>
      </c>
      <c r="M116" s="10">
        <f t="shared" si="8"/>
        <v>6390532500</v>
      </c>
      <c r="N116" s="10"/>
      <c r="O116" s="26"/>
    </row>
    <row r="117" spans="1:21" x14ac:dyDescent="0.3">
      <c r="A117" s="3">
        <v>45535</v>
      </c>
      <c r="B117" s="22" t="s">
        <v>46</v>
      </c>
      <c r="C117" s="25">
        <v>2024</v>
      </c>
      <c r="D117" s="3" t="s">
        <v>7</v>
      </c>
      <c r="E117" t="s">
        <v>4</v>
      </c>
      <c r="F117" t="s">
        <v>16</v>
      </c>
      <c r="G117" s="4">
        <v>260000</v>
      </c>
      <c r="H117" s="5">
        <v>48800</v>
      </c>
      <c r="I117" s="5">
        <f t="shared" si="9"/>
        <v>12688000000</v>
      </c>
      <c r="J117" s="6" t="s">
        <v>22</v>
      </c>
      <c r="K117" s="6">
        <f t="shared" si="6"/>
        <v>30056.471440000001</v>
      </c>
      <c r="L117" s="10">
        <f t="shared" si="7"/>
        <v>18743.528559999999</v>
      </c>
      <c r="M117" s="10">
        <f t="shared" si="8"/>
        <v>4873317425.5999994</v>
      </c>
      <c r="N117" s="10"/>
      <c r="O117" s="26"/>
    </row>
    <row r="118" spans="1:21" x14ac:dyDescent="0.3">
      <c r="A118" s="3">
        <v>45535</v>
      </c>
      <c r="B118" s="22" t="s">
        <v>46</v>
      </c>
      <c r="C118" s="25">
        <v>2024</v>
      </c>
      <c r="D118" s="3" t="s">
        <v>7</v>
      </c>
      <c r="E118" t="s">
        <v>5</v>
      </c>
      <c r="F118" t="s">
        <v>15</v>
      </c>
      <c r="G118" s="4">
        <v>375000</v>
      </c>
      <c r="H118" s="5">
        <v>12300</v>
      </c>
      <c r="I118" s="5">
        <f t="shared" si="9"/>
        <v>4612500000</v>
      </c>
      <c r="J118" s="6" t="s">
        <v>22</v>
      </c>
      <c r="K118" s="6">
        <f t="shared" si="6"/>
        <v>7995</v>
      </c>
      <c r="L118" s="10">
        <f t="shared" si="7"/>
        <v>4305</v>
      </c>
      <c r="M118" s="10">
        <f t="shared" si="8"/>
        <v>1614375000</v>
      </c>
      <c r="N118" s="10"/>
      <c r="O118" s="26"/>
    </row>
    <row r="119" spans="1:21" x14ac:dyDescent="0.3">
      <c r="A119" s="3">
        <v>45535</v>
      </c>
      <c r="B119" s="22" t="s">
        <v>46</v>
      </c>
      <c r="C119" s="25">
        <v>2024</v>
      </c>
      <c r="D119" s="3" t="s">
        <v>8</v>
      </c>
      <c r="E119" t="s">
        <v>2</v>
      </c>
      <c r="F119" t="s">
        <v>15</v>
      </c>
      <c r="G119" s="4">
        <v>422</v>
      </c>
      <c r="H119" s="5">
        <v>56750</v>
      </c>
      <c r="I119" s="5">
        <f t="shared" si="9"/>
        <v>23948500</v>
      </c>
      <c r="J119" s="6" t="s">
        <v>22</v>
      </c>
      <c r="K119" s="6">
        <f t="shared" si="6"/>
        <v>38419.75</v>
      </c>
      <c r="L119" s="10">
        <f t="shared" si="7"/>
        <v>18330.25</v>
      </c>
      <c r="M119" s="10">
        <f t="shared" si="8"/>
        <v>7735365.5</v>
      </c>
      <c r="N119" s="10"/>
      <c r="O119" s="26"/>
    </row>
    <row r="120" spans="1:21" x14ac:dyDescent="0.3">
      <c r="A120" s="3">
        <v>45535</v>
      </c>
      <c r="B120" s="22" t="s">
        <v>46</v>
      </c>
      <c r="C120" s="25">
        <v>2024</v>
      </c>
      <c r="D120" s="3" t="s">
        <v>8</v>
      </c>
      <c r="E120" t="s">
        <v>3</v>
      </c>
      <c r="F120" t="s">
        <v>15</v>
      </c>
      <c r="G120" s="4">
        <v>216000</v>
      </c>
      <c r="H120" s="5">
        <v>54550</v>
      </c>
      <c r="I120" s="5">
        <f t="shared" si="9"/>
        <v>11782800000</v>
      </c>
      <c r="J120" s="6" t="s">
        <v>22</v>
      </c>
      <c r="K120" s="6">
        <f t="shared" si="6"/>
        <v>36548.5</v>
      </c>
      <c r="L120" s="10">
        <f t="shared" si="7"/>
        <v>18001.5</v>
      </c>
      <c r="M120" s="10">
        <f t="shared" si="8"/>
        <v>3888324000</v>
      </c>
      <c r="N120" s="10"/>
      <c r="O120" s="26"/>
    </row>
    <row r="121" spans="1:21" x14ac:dyDescent="0.3">
      <c r="A121" s="3">
        <v>45535</v>
      </c>
      <c r="B121" s="22" t="s">
        <v>46</v>
      </c>
      <c r="C121" s="25">
        <v>2024</v>
      </c>
      <c r="D121" s="3" t="s">
        <v>8</v>
      </c>
      <c r="E121" t="s">
        <v>4</v>
      </c>
      <c r="F121" t="s">
        <v>16</v>
      </c>
      <c r="G121" s="4">
        <v>310000</v>
      </c>
      <c r="H121" s="5">
        <v>48800</v>
      </c>
      <c r="I121" s="5">
        <f t="shared" si="9"/>
        <v>15128000000</v>
      </c>
      <c r="J121" s="6" t="s">
        <v>22</v>
      </c>
      <c r="K121" s="6">
        <f t="shared" si="6"/>
        <v>30056.471440000001</v>
      </c>
      <c r="L121" s="10">
        <f t="shared" si="7"/>
        <v>18743.528559999999</v>
      </c>
      <c r="M121" s="10">
        <f t="shared" si="8"/>
        <v>5810493853.5999994</v>
      </c>
      <c r="N121" s="10"/>
      <c r="O121" s="26"/>
    </row>
    <row r="122" spans="1:21" x14ac:dyDescent="0.3">
      <c r="A122" s="3">
        <v>45535</v>
      </c>
      <c r="B122" s="22" t="s">
        <v>46</v>
      </c>
      <c r="C122" s="25">
        <v>2024</v>
      </c>
      <c r="D122" s="3" t="s">
        <v>8</v>
      </c>
      <c r="E122" t="s">
        <v>5</v>
      </c>
      <c r="F122" t="s">
        <v>15</v>
      </c>
      <c r="G122" s="4">
        <v>455000</v>
      </c>
      <c r="H122" s="5">
        <v>12300</v>
      </c>
      <c r="I122" s="5">
        <f t="shared" si="9"/>
        <v>5596500000</v>
      </c>
      <c r="J122" s="6" t="s">
        <v>22</v>
      </c>
      <c r="K122" s="6">
        <f t="shared" si="6"/>
        <v>7995</v>
      </c>
      <c r="L122" s="10">
        <f t="shared" si="7"/>
        <v>4305</v>
      </c>
      <c r="M122" s="10">
        <f t="shared" si="8"/>
        <v>1958775000</v>
      </c>
      <c r="N122" s="10"/>
      <c r="O122" s="26"/>
    </row>
    <row r="123" spans="1:21" x14ac:dyDescent="0.3">
      <c r="A123" s="3">
        <v>45535</v>
      </c>
      <c r="B123" s="22" t="s">
        <v>46</v>
      </c>
      <c r="C123" s="25">
        <v>2024</v>
      </c>
      <c r="D123" s="3" t="s">
        <v>9</v>
      </c>
      <c r="E123" t="s">
        <v>2</v>
      </c>
      <c r="F123" t="s">
        <v>15</v>
      </c>
      <c r="G123" s="4">
        <v>320</v>
      </c>
      <c r="H123" s="5">
        <v>56750</v>
      </c>
      <c r="I123" s="5">
        <f t="shared" si="9"/>
        <v>18160000</v>
      </c>
      <c r="J123" s="6" t="s">
        <v>22</v>
      </c>
      <c r="K123" s="6">
        <f t="shared" si="6"/>
        <v>38419.75</v>
      </c>
      <c r="L123" s="10">
        <f t="shared" si="7"/>
        <v>18330.25</v>
      </c>
      <c r="M123" s="10">
        <f t="shared" si="8"/>
        <v>5865680</v>
      </c>
      <c r="N123" s="10"/>
      <c r="O123" s="26"/>
    </row>
    <row r="124" spans="1:21" x14ac:dyDescent="0.3">
      <c r="A124" s="3">
        <v>45535</v>
      </c>
      <c r="B124" s="22" t="s">
        <v>46</v>
      </c>
      <c r="C124" s="25">
        <v>2024</v>
      </c>
      <c r="D124" s="3" t="s">
        <v>9</v>
      </c>
      <c r="E124" t="s">
        <v>3</v>
      </c>
      <c r="F124" t="s">
        <v>15</v>
      </c>
      <c r="G124" s="4">
        <v>215000</v>
      </c>
      <c r="H124" s="5">
        <v>54550</v>
      </c>
      <c r="I124" s="5">
        <f t="shared" si="9"/>
        <v>11728250000</v>
      </c>
      <c r="J124" s="6" t="s">
        <v>22</v>
      </c>
      <c r="K124" s="6">
        <f t="shared" si="6"/>
        <v>36548.5</v>
      </c>
      <c r="L124" s="10">
        <f t="shared" si="7"/>
        <v>18001.5</v>
      </c>
      <c r="M124" s="10">
        <f t="shared" si="8"/>
        <v>3870322500</v>
      </c>
      <c r="N124" s="10"/>
      <c r="O124" s="26"/>
    </row>
    <row r="125" spans="1:21" x14ac:dyDescent="0.3">
      <c r="A125" s="3">
        <v>45535</v>
      </c>
      <c r="B125" s="22" t="s">
        <v>46</v>
      </c>
      <c r="C125" s="25">
        <v>2024</v>
      </c>
      <c r="D125" s="3" t="s">
        <v>9</v>
      </c>
      <c r="E125" t="s">
        <v>4</v>
      </c>
      <c r="F125" t="s">
        <v>16</v>
      </c>
      <c r="G125" s="4">
        <v>303000</v>
      </c>
      <c r="H125" s="5">
        <v>48800</v>
      </c>
      <c r="I125" s="5">
        <f t="shared" si="9"/>
        <v>14786400000</v>
      </c>
      <c r="J125" s="6" t="s">
        <v>22</v>
      </c>
      <c r="K125" s="6">
        <f t="shared" si="6"/>
        <v>30056.471440000001</v>
      </c>
      <c r="L125" s="10">
        <f t="shared" si="7"/>
        <v>18743.528559999999</v>
      </c>
      <c r="M125" s="10">
        <f t="shared" si="8"/>
        <v>5679289153.6799994</v>
      </c>
      <c r="N125" s="10"/>
      <c r="O125" s="26"/>
    </row>
    <row r="126" spans="1:21" x14ac:dyDescent="0.3">
      <c r="A126" s="3">
        <v>45535</v>
      </c>
      <c r="B126" s="22" t="s">
        <v>46</v>
      </c>
      <c r="C126" s="25">
        <v>2024</v>
      </c>
      <c r="D126" s="3" t="s">
        <v>9</v>
      </c>
      <c r="E126" t="s">
        <v>5</v>
      </c>
      <c r="F126" t="s">
        <v>15</v>
      </c>
      <c r="G126" s="4">
        <v>458000</v>
      </c>
      <c r="H126" s="5">
        <v>12300</v>
      </c>
      <c r="I126" s="5">
        <f t="shared" si="9"/>
        <v>5633400000</v>
      </c>
      <c r="J126" s="6" t="s">
        <v>22</v>
      </c>
      <c r="K126" s="6">
        <f t="shared" si="6"/>
        <v>7995</v>
      </c>
      <c r="L126" s="10">
        <f t="shared" si="7"/>
        <v>4305</v>
      </c>
      <c r="M126" s="10">
        <f t="shared" si="8"/>
        <v>1971690000</v>
      </c>
      <c r="N126" s="10"/>
      <c r="O126" s="26"/>
    </row>
    <row r="127" spans="1:21" x14ac:dyDescent="0.3">
      <c r="A127" s="3">
        <v>45535</v>
      </c>
      <c r="B127" s="22" t="s">
        <v>46</v>
      </c>
      <c r="C127" s="25">
        <v>2024</v>
      </c>
      <c r="D127" s="3" t="s">
        <v>10</v>
      </c>
      <c r="E127" t="s">
        <v>2</v>
      </c>
      <c r="F127" t="s">
        <v>15</v>
      </c>
      <c r="G127" s="4">
        <v>570</v>
      </c>
      <c r="H127" s="5">
        <v>56750</v>
      </c>
      <c r="I127" s="5">
        <f t="shared" si="9"/>
        <v>32347500</v>
      </c>
      <c r="J127" s="6" t="s">
        <v>22</v>
      </c>
      <c r="K127" s="6">
        <f t="shared" si="6"/>
        <v>38419.75</v>
      </c>
      <c r="L127" s="10">
        <f t="shared" si="7"/>
        <v>18330.25</v>
      </c>
      <c r="M127" s="10">
        <f t="shared" si="8"/>
        <v>10448242.5</v>
      </c>
      <c r="N127" s="10"/>
      <c r="O127" s="26"/>
    </row>
    <row r="128" spans="1:21" x14ac:dyDescent="0.3">
      <c r="A128" s="3">
        <v>45535</v>
      </c>
      <c r="B128" s="22" t="s">
        <v>46</v>
      </c>
      <c r="C128" s="25">
        <v>2024</v>
      </c>
      <c r="D128" s="3" t="s">
        <v>10</v>
      </c>
      <c r="E128" t="s">
        <v>3</v>
      </c>
      <c r="F128" t="s">
        <v>15</v>
      </c>
      <c r="G128" s="4">
        <v>288000</v>
      </c>
      <c r="H128" s="5">
        <v>54550</v>
      </c>
      <c r="I128" s="5">
        <f t="shared" si="9"/>
        <v>15710400000</v>
      </c>
      <c r="J128" s="6" t="s">
        <v>22</v>
      </c>
      <c r="K128" s="6">
        <f t="shared" si="6"/>
        <v>36548.5</v>
      </c>
      <c r="L128" s="10">
        <f t="shared" si="7"/>
        <v>18001.5</v>
      </c>
      <c r="M128" s="10">
        <f t="shared" si="8"/>
        <v>5184432000</v>
      </c>
      <c r="N128" s="10"/>
      <c r="O128" s="26"/>
    </row>
    <row r="129" spans="1:21" x14ac:dyDescent="0.3">
      <c r="A129" s="3">
        <v>45535</v>
      </c>
      <c r="B129" s="22" t="s">
        <v>46</v>
      </c>
      <c r="C129" s="25">
        <v>2024</v>
      </c>
      <c r="D129" s="3" t="s">
        <v>10</v>
      </c>
      <c r="E129" t="s">
        <v>4</v>
      </c>
      <c r="F129" t="s">
        <v>16</v>
      </c>
      <c r="G129" s="4">
        <v>248000</v>
      </c>
      <c r="H129" s="5">
        <v>48800</v>
      </c>
      <c r="I129" s="5">
        <f t="shared" si="9"/>
        <v>12102400000</v>
      </c>
      <c r="J129" s="6" t="s">
        <v>22</v>
      </c>
      <c r="K129" s="6">
        <f t="shared" si="6"/>
        <v>30056.471440000001</v>
      </c>
      <c r="L129" s="10">
        <f t="shared" si="7"/>
        <v>18743.528559999999</v>
      </c>
      <c r="M129" s="10">
        <f t="shared" si="8"/>
        <v>4648395082.8800001</v>
      </c>
      <c r="N129" s="10"/>
      <c r="O129" s="26"/>
    </row>
    <row r="130" spans="1:21" x14ac:dyDescent="0.3">
      <c r="A130" s="3">
        <v>45535</v>
      </c>
      <c r="B130" s="22" t="s">
        <v>46</v>
      </c>
      <c r="C130" s="25">
        <v>2024</v>
      </c>
      <c r="D130" s="3" t="s">
        <v>10</v>
      </c>
      <c r="E130" t="s">
        <v>5</v>
      </c>
      <c r="F130" t="s">
        <v>15</v>
      </c>
      <c r="G130" s="4">
        <v>380000</v>
      </c>
      <c r="H130" s="5">
        <v>12300</v>
      </c>
      <c r="I130" s="5">
        <f t="shared" si="9"/>
        <v>4674000000</v>
      </c>
      <c r="J130" s="6" t="s">
        <v>22</v>
      </c>
      <c r="K130" s="6">
        <f t="shared" si="6"/>
        <v>7995</v>
      </c>
      <c r="L130" s="10">
        <f t="shared" si="7"/>
        <v>4305</v>
      </c>
      <c r="M130" s="10">
        <f t="shared" si="8"/>
        <v>1635900000</v>
      </c>
      <c r="N130" s="10"/>
      <c r="O130" s="26"/>
      <c r="U130" s="5"/>
    </row>
    <row r="131" spans="1:21" x14ac:dyDescent="0.3">
      <c r="A131" s="3">
        <v>45565</v>
      </c>
      <c r="B131" s="22" t="s">
        <v>47</v>
      </c>
      <c r="C131" s="25">
        <v>2024</v>
      </c>
      <c r="D131" s="3" t="s">
        <v>7</v>
      </c>
      <c r="E131" t="s">
        <v>2</v>
      </c>
      <c r="F131" t="s">
        <v>15</v>
      </c>
      <c r="G131" s="4">
        <v>330</v>
      </c>
      <c r="H131" s="5">
        <v>56750</v>
      </c>
      <c r="I131" s="5">
        <f t="shared" si="9"/>
        <v>18727500</v>
      </c>
      <c r="J131" s="6" t="s">
        <v>22</v>
      </c>
      <c r="K131" s="6">
        <f t="shared" si="6"/>
        <v>38419.75</v>
      </c>
      <c r="L131" s="10">
        <f t="shared" si="7"/>
        <v>18330.25</v>
      </c>
      <c r="M131" s="10">
        <f t="shared" si="8"/>
        <v>6048982.5</v>
      </c>
      <c r="N131" s="10"/>
      <c r="O131" s="26"/>
    </row>
    <row r="132" spans="1:21" x14ac:dyDescent="0.3">
      <c r="A132" s="3">
        <v>45565</v>
      </c>
      <c r="B132" s="22" t="s">
        <v>47</v>
      </c>
      <c r="C132" s="25">
        <v>2024</v>
      </c>
      <c r="D132" s="3" t="s">
        <v>7</v>
      </c>
      <c r="E132" t="s">
        <v>3</v>
      </c>
      <c r="F132" t="s">
        <v>15</v>
      </c>
      <c r="G132" s="4">
        <v>336000</v>
      </c>
      <c r="H132" s="5">
        <v>54550</v>
      </c>
      <c r="I132" s="5">
        <f t="shared" si="9"/>
        <v>18328800000</v>
      </c>
      <c r="J132" s="6" t="s">
        <v>22</v>
      </c>
      <c r="K132" s="6">
        <f t="shared" ref="K132:K194" si="10">IF(E132="Flour",H132*0.6159113,IF(E132="Pasta",H132*0.65,IF(E132="Sugar",H132*0.67,IF(E132="Rice",H132*0.677))))</f>
        <v>36548.5</v>
      </c>
      <c r="L132" s="10">
        <f t="shared" ref="L132:L194" si="11">H132-K132</f>
        <v>18001.5</v>
      </c>
      <c r="M132" s="10">
        <f t="shared" ref="M132:M194" si="12">G132*L132</f>
        <v>6048504000</v>
      </c>
      <c r="N132" s="10"/>
      <c r="O132" s="26"/>
    </row>
    <row r="133" spans="1:21" x14ac:dyDescent="0.3">
      <c r="A133" s="3">
        <v>45565</v>
      </c>
      <c r="B133" s="22" t="s">
        <v>47</v>
      </c>
      <c r="C133" s="25">
        <v>2024</v>
      </c>
      <c r="D133" s="3" t="s">
        <v>7</v>
      </c>
      <c r="E133" t="s">
        <v>4</v>
      </c>
      <c r="F133" t="s">
        <v>16</v>
      </c>
      <c r="G133" s="4">
        <v>260000</v>
      </c>
      <c r="H133" s="5">
        <v>48800</v>
      </c>
      <c r="I133" s="5">
        <f t="shared" si="9"/>
        <v>12688000000</v>
      </c>
      <c r="J133" s="6" t="s">
        <v>22</v>
      </c>
      <c r="K133" s="6">
        <f t="shared" si="10"/>
        <v>30056.471440000001</v>
      </c>
      <c r="L133" s="10">
        <f t="shared" si="11"/>
        <v>18743.528559999999</v>
      </c>
      <c r="M133" s="10">
        <f t="shared" si="12"/>
        <v>4873317425.5999994</v>
      </c>
      <c r="N133" s="10"/>
      <c r="O133" s="26"/>
    </row>
    <row r="134" spans="1:21" x14ac:dyDescent="0.3">
      <c r="A134" s="3">
        <v>45565</v>
      </c>
      <c r="B134" s="22" t="s">
        <v>47</v>
      </c>
      <c r="C134" s="25">
        <v>2024</v>
      </c>
      <c r="D134" s="3" t="s">
        <v>7</v>
      </c>
      <c r="E134" t="s">
        <v>5</v>
      </c>
      <c r="F134" t="s">
        <v>15</v>
      </c>
      <c r="G134" s="4">
        <v>388000</v>
      </c>
      <c r="H134" s="5">
        <v>12300</v>
      </c>
      <c r="I134" s="5">
        <f t="shared" si="9"/>
        <v>4772400000</v>
      </c>
      <c r="J134" s="6" t="s">
        <v>22</v>
      </c>
      <c r="K134" s="6">
        <f t="shared" si="10"/>
        <v>7995</v>
      </c>
      <c r="L134" s="10">
        <f t="shared" si="11"/>
        <v>4305</v>
      </c>
      <c r="M134" s="10">
        <f t="shared" si="12"/>
        <v>1670340000</v>
      </c>
      <c r="N134" s="10"/>
      <c r="O134" s="26"/>
    </row>
    <row r="135" spans="1:21" x14ac:dyDescent="0.3">
      <c r="A135" s="3">
        <v>45565</v>
      </c>
      <c r="B135" s="22" t="s">
        <v>47</v>
      </c>
      <c r="C135" s="25">
        <v>2024</v>
      </c>
      <c r="D135" s="3" t="s">
        <v>8</v>
      </c>
      <c r="E135" t="s">
        <v>2</v>
      </c>
      <c r="F135" t="s">
        <v>15</v>
      </c>
      <c r="G135" s="4">
        <v>330</v>
      </c>
      <c r="H135" s="5">
        <v>56750</v>
      </c>
      <c r="I135" s="5">
        <f t="shared" si="9"/>
        <v>18727500</v>
      </c>
      <c r="J135" s="6" t="s">
        <v>22</v>
      </c>
      <c r="K135" s="6">
        <f t="shared" si="10"/>
        <v>38419.75</v>
      </c>
      <c r="L135" s="10">
        <f t="shared" si="11"/>
        <v>18330.25</v>
      </c>
      <c r="M135" s="10">
        <f t="shared" si="12"/>
        <v>6048982.5</v>
      </c>
      <c r="N135" s="10"/>
      <c r="O135" s="26"/>
    </row>
    <row r="136" spans="1:21" x14ac:dyDescent="0.3">
      <c r="A136" s="3">
        <v>45565</v>
      </c>
      <c r="B136" s="22" t="s">
        <v>47</v>
      </c>
      <c r="C136" s="25">
        <v>2024</v>
      </c>
      <c r="D136" s="3" t="s">
        <v>8</v>
      </c>
      <c r="E136" t="s">
        <v>3</v>
      </c>
      <c r="F136" t="s">
        <v>15</v>
      </c>
      <c r="G136" s="4">
        <v>210000</v>
      </c>
      <c r="H136" s="5">
        <v>54550</v>
      </c>
      <c r="I136" s="5">
        <f t="shared" si="9"/>
        <v>11455500000</v>
      </c>
      <c r="J136" s="6" t="s">
        <v>22</v>
      </c>
      <c r="K136" s="6">
        <f t="shared" si="10"/>
        <v>36548.5</v>
      </c>
      <c r="L136" s="10">
        <f t="shared" si="11"/>
        <v>18001.5</v>
      </c>
      <c r="M136" s="10">
        <f t="shared" si="12"/>
        <v>3780315000</v>
      </c>
      <c r="N136" s="10"/>
      <c r="O136" s="26"/>
    </row>
    <row r="137" spans="1:21" x14ac:dyDescent="0.3">
      <c r="A137" s="3">
        <v>45565</v>
      </c>
      <c r="B137" s="22" t="s">
        <v>47</v>
      </c>
      <c r="C137" s="25">
        <v>2024</v>
      </c>
      <c r="D137" s="3" t="s">
        <v>8</v>
      </c>
      <c r="E137" t="s">
        <v>4</v>
      </c>
      <c r="F137" t="s">
        <v>16</v>
      </c>
      <c r="G137" s="4">
        <v>287000</v>
      </c>
      <c r="H137" s="5">
        <v>48800</v>
      </c>
      <c r="I137" s="5">
        <f t="shared" si="9"/>
        <v>14005600000</v>
      </c>
      <c r="J137" s="6" t="s">
        <v>22</v>
      </c>
      <c r="K137" s="6">
        <f t="shared" si="10"/>
        <v>30056.471440000001</v>
      </c>
      <c r="L137" s="10">
        <f t="shared" si="11"/>
        <v>18743.528559999999</v>
      </c>
      <c r="M137" s="10">
        <f t="shared" si="12"/>
        <v>5379392696.7199993</v>
      </c>
      <c r="N137" s="10"/>
      <c r="O137" s="26"/>
    </row>
    <row r="138" spans="1:21" x14ac:dyDescent="0.3">
      <c r="A138" s="3">
        <v>45565</v>
      </c>
      <c r="B138" s="22" t="s">
        <v>47</v>
      </c>
      <c r="C138" s="25">
        <v>2024</v>
      </c>
      <c r="D138" s="3" t="s">
        <v>8</v>
      </c>
      <c r="E138" t="s">
        <v>5</v>
      </c>
      <c r="F138" t="s">
        <v>15</v>
      </c>
      <c r="G138" s="4">
        <v>446600</v>
      </c>
      <c r="H138" s="5">
        <v>12300</v>
      </c>
      <c r="I138" s="5">
        <f t="shared" si="9"/>
        <v>5493180000</v>
      </c>
      <c r="J138" s="6" t="s">
        <v>22</v>
      </c>
      <c r="K138" s="6">
        <f t="shared" si="10"/>
        <v>7995</v>
      </c>
      <c r="L138" s="10">
        <f t="shared" si="11"/>
        <v>4305</v>
      </c>
      <c r="M138" s="10">
        <f t="shared" si="12"/>
        <v>1922613000</v>
      </c>
      <c r="N138" s="10"/>
      <c r="O138" s="26"/>
    </row>
    <row r="139" spans="1:21" x14ac:dyDescent="0.3">
      <c r="A139" s="3">
        <v>45565</v>
      </c>
      <c r="B139" s="22" t="s">
        <v>47</v>
      </c>
      <c r="C139" s="25">
        <v>2024</v>
      </c>
      <c r="D139" s="3" t="s">
        <v>9</v>
      </c>
      <c r="E139" t="s">
        <v>2</v>
      </c>
      <c r="F139" t="s">
        <v>15</v>
      </c>
      <c r="G139" s="4">
        <v>500</v>
      </c>
      <c r="H139" s="5">
        <v>56750</v>
      </c>
      <c r="I139" s="5">
        <f t="shared" si="9"/>
        <v>28375000</v>
      </c>
      <c r="J139" s="6" t="s">
        <v>22</v>
      </c>
      <c r="K139" s="6">
        <f t="shared" si="10"/>
        <v>38419.75</v>
      </c>
      <c r="L139" s="10">
        <f t="shared" si="11"/>
        <v>18330.25</v>
      </c>
      <c r="M139" s="10">
        <f t="shared" si="12"/>
        <v>9165125</v>
      </c>
      <c r="N139" s="10"/>
      <c r="O139" s="26"/>
    </row>
    <row r="140" spans="1:21" x14ac:dyDescent="0.3">
      <c r="A140" s="3">
        <v>45565</v>
      </c>
      <c r="B140" s="22" t="s">
        <v>47</v>
      </c>
      <c r="C140" s="25">
        <v>2024</v>
      </c>
      <c r="D140" s="3" t="s">
        <v>9</v>
      </c>
      <c r="E140" t="s">
        <v>3</v>
      </c>
      <c r="F140" t="s">
        <v>15</v>
      </c>
      <c r="G140" s="4">
        <v>200000</v>
      </c>
      <c r="H140" s="5">
        <v>54550</v>
      </c>
      <c r="I140" s="5">
        <f t="shared" si="9"/>
        <v>10910000000</v>
      </c>
      <c r="J140" s="6" t="s">
        <v>22</v>
      </c>
      <c r="K140" s="6">
        <f t="shared" si="10"/>
        <v>36548.5</v>
      </c>
      <c r="L140" s="10">
        <f t="shared" si="11"/>
        <v>18001.5</v>
      </c>
      <c r="M140" s="10">
        <f t="shared" si="12"/>
        <v>3600300000</v>
      </c>
      <c r="N140" s="10"/>
      <c r="O140" s="26"/>
    </row>
    <row r="141" spans="1:21" x14ac:dyDescent="0.3">
      <c r="A141" s="3">
        <v>45565</v>
      </c>
      <c r="B141" s="22" t="s">
        <v>47</v>
      </c>
      <c r="C141" s="25">
        <v>2024</v>
      </c>
      <c r="D141" s="3" t="s">
        <v>9</v>
      </c>
      <c r="E141" t="s">
        <v>4</v>
      </c>
      <c r="F141" t="s">
        <v>16</v>
      </c>
      <c r="G141" s="4">
        <v>278000</v>
      </c>
      <c r="H141" s="5">
        <v>48800</v>
      </c>
      <c r="I141" s="5">
        <f t="shared" si="9"/>
        <v>13566400000</v>
      </c>
      <c r="J141" s="6" t="s">
        <v>22</v>
      </c>
      <c r="K141" s="6">
        <f t="shared" si="10"/>
        <v>30056.471440000001</v>
      </c>
      <c r="L141" s="10">
        <f t="shared" si="11"/>
        <v>18743.528559999999</v>
      </c>
      <c r="M141" s="10">
        <f t="shared" si="12"/>
        <v>5210700939.6799994</v>
      </c>
      <c r="N141" s="10"/>
      <c r="O141" s="26"/>
      <c r="Q141" s="7" t="s">
        <v>2</v>
      </c>
      <c r="R141" s="18">
        <f>SUM(I99,I103,I107,I111,I115,I119,I123,I127,I131,I135,I139,I143)</f>
        <v>304180000</v>
      </c>
    </row>
    <row r="142" spans="1:21" x14ac:dyDescent="0.3">
      <c r="A142" s="3">
        <v>45565</v>
      </c>
      <c r="B142" s="22" t="s">
        <v>47</v>
      </c>
      <c r="C142" s="25">
        <v>2024</v>
      </c>
      <c r="D142" s="3" t="s">
        <v>9</v>
      </c>
      <c r="E142" t="s">
        <v>5</v>
      </c>
      <c r="F142" t="s">
        <v>15</v>
      </c>
      <c r="G142" s="4">
        <v>440000</v>
      </c>
      <c r="H142" s="5">
        <v>12300</v>
      </c>
      <c r="I142" s="5">
        <f t="shared" si="9"/>
        <v>5412000000</v>
      </c>
      <c r="J142" s="6" t="s">
        <v>22</v>
      </c>
      <c r="K142" s="6">
        <f t="shared" si="10"/>
        <v>7995</v>
      </c>
      <c r="L142" s="10">
        <f t="shared" si="11"/>
        <v>4305</v>
      </c>
      <c r="M142" s="10">
        <f t="shared" si="12"/>
        <v>1894200000</v>
      </c>
      <c r="N142" s="10"/>
      <c r="O142" s="26"/>
      <c r="Q142" s="7" t="s">
        <v>3</v>
      </c>
      <c r="R142" s="18">
        <f>SUM(I100,I104,I108,I112,I116,I120,I124,I128,I132,I136,I140,I144)</f>
        <v>174696375000</v>
      </c>
    </row>
    <row r="143" spans="1:21" x14ac:dyDescent="0.3">
      <c r="A143" s="3">
        <v>45565</v>
      </c>
      <c r="B143" s="22" t="s">
        <v>47</v>
      </c>
      <c r="C143" s="25">
        <v>2024</v>
      </c>
      <c r="D143" s="3" t="s">
        <v>10</v>
      </c>
      <c r="E143" t="s">
        <v>2</v>
      </c>
      <c r="F143" t="s">
        <v>15</v>
      </c>
      <c r="G143" s="4">
        <v>570</v>
      </c>
      <c r="H143" s="5">
        <v>56750</v>
      </c>
      <c r="I143" s="5">
        <f t="shared" si="9"/>
        <v>32347500</v>
      </c>
      <c r="J143" s="6" t="s">
        <v>22</v>
      </c>
      <c r="K143" s="6">
        <f t="shared" si="10"/>
        <v>38419.75</v>
      </c>
      <c r="L143" s="10">
        <f t="shared" si="11"/>
        <v>18330.25</v>
      </c>
      <c r="M143" s="10">
        <f t="shared" si="12"/>
        <v>10448242.5</v>
      </c>
      <c r="N143" s="10"/>
      <c r="O143" s="26"/>
      <c r="Q143" s="7" t="s">
        <v>4</v>
      </c>
      <c r="R143" s="18">
        <f>SUM(I101,I105,I109,I113,I117,I121,I125,I129,I133,I137,I141,I145)</f>
        <v>162650400000</v>
      </c>
    </row>
    <row r="144" spans="1:21" x14ac:dyDescent="0.3">
      <c r="A144" s="3">
        <v>45565</v>
      </c>
      <c r="B144" s="22" t="s">
        <v>47</v>
      </c>
      <c r="C144" s="25">
        <v>2024</v>
      </c>
      <c r="D144" s="3" t="s">
        <v>10</v>
      </c>
      <c r="E144" t="s">
        <v>3</v>
      </c>
      <c r="F144" t="s">
        <v>15</v>
      </c>
      <c r="G144" s="4">
        <v>281500</v>
      </c>
      <c r="H144" s="5">
        <v>54550</v>
      </c>
      <c r="I144" s="5">
        <f t="shared" si="9"/>
        <v>15355825000</v>
      </c>
      <c r="J144" s="6" t="s">
        <v>22</v>
      </c>
      <c r="K144" s="6">
        <f t="shared" si="10"/>
        <v>36548.5</v>
      </c>
      <c r="L144" s="10">
        <f t="shared" si="11"/>
        <v>18001.5</v>
      </c>
      <c r="M144" s="10">
        <f t="shared" si="12"/>
        <v>5067422250</v>
      </c>
      <c r="N144" s="10"/>
      <c r="O144" s="26"/>
      <c r="Q144" s="7" t="s">
        <v>33</v>
      </c>
      <c r="R144" s="18">
        <f>SUM(I102,I106,I110,I114,I118,I122,I126,I130,I134,I138,I142,I146)</f>
        <v>60769380000</v>
      </c>
    </row>
    <row r="145" spans="1:21" x14ac:dyDescent="0.3">
      <c r="A145" s="3">
        <v>45565</v>
      </c>
      <c r="B145" s="22" t="s">
        <v>47</v>
      </c>
      <c r="C145" s="25">
        <v>2024</v>
      </c>
      <c r="D145" s="3" t="s">
        <v>10</v>
      </c>
      <c r="E145" t="s">
        <v>4</v>
      </c>
      <c r="F145" t="s">
        <v>16</v>
      </c>
      <c r="G145" s="4">
        <v>250000</v>
      </c>
      <c r="H145" s="5">
        <v>48800</v>
      </c>
      <c r="I145" s="5">
        <f t="shared" si="9"/>
        <v>12200000000</v>
      </c>
      <c r="J145" s="6" t="s">
        <v>22</v>
      </c>
      <c r="K145" s="6">
        <f t="shared" si="10"/>
        <v>30056.471440000001</v>
      </c>
      <c r="L145" s="10">
        <f t="shared" si="11"/>
        <v>18743.528559999999</v>
      </c>
      <c r="M145" s="10">
        <f t="shared" si="12"/>
        <v>4685882140</v>
      </c>
      <c r="N145" s="10"/>
      <c r="O145" s="26"/>
      <c r="Q145" s="7" t="s">
        <v>25</v>
      </c>
      <c r="R145" s="18">
        <f>SUM(R141:R144)</f>
        <v>398420335000</v>
      </c>
    </row>
    <row r="146" spans="1:21" x14ac:dyDescent="0.3">
      <c r="A146" s="3">
        <v>45565</v>
      </c>
      <c r="B146" s="22" t="s">
        <v>47</v>
      </c>
      <c r="C146" s="25">
        <v>2024</v>
      </c>
      <c r="D146" s="3" t="s">
        <v>10</v>
      </c>
      <c r="E146" t="s">
        <v>5</v>
      </c>
      <c r="F146" t="s">
        <v>15</v>
      </c>
      <c r="G146" s="4">
        <v>369000</v>
      </c>
      <c r="H146" s="5">
        <v>12300</v>
      </c>
      <c r="I146" s="5">
        <f t="shared" si="9"/>
        <v>4538700000</v>
      </c>
      <c r="J146" s="6" t="s">
        <v>22</v>
      </c>
      <c r="K146" s="6">
        <f t="shared" si="10"/>
        <v>7995</v>
      </c>
      <c r="L146" s="10">
        <f t="shared" si="11"/>
        <v>4305</v>
      </c>
      <c r="M146" s="10">
        <f t="shared" si="12"/>
        <v>1588545000</v>
      </c>
      <c r="N146" s="10"/>
      <c r="O146" s="26"/>
      <c r="R146" s="18"/>
      <c r="U146" s="5"/>
    </row>
    <row r="147" spans="1:21" x14ac:dyDescent="0.3">
      <c r="A147" s="3">
        <v>45596</v>
      </c>
      <c r="B147" s="22" t="s">
        <v>48</v>
      </c>
      <c r="C147" s="25">
        <v>2024</v>
      </c>
      <c r="D147" s="3" t="s">
        <v>7</v>
      </c>
      <c r="E147" t="s">
        <v>2</v>
      </c>
      <c r="F147" t="s">
        <v>15</v>
      </c>
      <c r="G147" s="4">
        <v>6100</v>
      </c>
      <c r="H147" s="5">
        <v>56750</v>
      </c>
      <c r="I147" s="5">
        <f t="shared" si="9"/>
        <v>346175000</v>
      </c>
      <c r="J147" s="6" t="s">
        <v>23</v>
      </c>
      <c r="K147" s="6">
        <f t="shared" si="10"/>
        <v>38419.75</v>
      </c>
      <c r="L147" s="10">
        <f t="shared" si="11"/>
        <v>18330.25</v>
      </c>
      <c r="M147" s="10">
        <f t="shared" si="12"/>
        <v>111814525</v>
      </c>
      <c r="N147" s="10"/>
      <c r="O147" s="26"/>
    </row>
    <row r="148" spans="1:21" x14ac:dyDescent="0.3">
      <c r="A148" s="3">
        <v>45596</v>
      </c>
      <c r="B148" s="22" t="s">
        <v>48</v>
      </c>
      <c r="C148" s="25">
        <v>2024</v>
      </c>
      <c r="D148" s="3" t="s">
        <v>7</v>
      </c>
      <c r="E148" t="s">
        <v>3</v>
      </c>
      <c r="F148" t="s">
        <v>15</v>
      </c>
      <c r="G148" s="4">
        <v>310000</v>
      </c>
      <c r="H148" s="5">
        <v>54550</v>
      </c>
      <c r="I148" s="5">
        <f t="shared" si="9"/>
        <v>16910500000</v>
      </c>
      <c r="J148" s="6" t="s">
        <v>23</v>
      </c>
      <c r="K148" s="6">
        <f t="shared" si="10"/>
        <v>36548.5</v>
      </c>
      <c r="L148" s="10">
        <f t="shared" si="11"/>
        <v>18001.5</v>
      </c>
      <c r="M148" s="10">
        <f t="shared" si="12"/>
        <v>5580465000</v>
      </c>
      <c r="N148" s="10"/>
      <c r="O148" s="26"/>
    </row>
    <row r="149" spans="1:21" x14ac:dyDescent="0.3">
      <c r="A149" s="3">
        <v>45596</v>
      </c>
      <c r="B149" s="22" t="s">
        <v>48</v>
      </c>
      <c r="C149" s="25">
        <v>2024</v>
      </c>
      <c r="D149" s="3" t="s">
        <v>7</v>
      </c>
      <c r="E149" t="s">
        <v>4</v>
      </c>
      <c r="F149" t="s">
        <v>16</v>
      </c>
      <c r="G149" s="4">
        <v>334000</v>
      </c>
      <c r="H149" s="5">
        <v>48800</v>
      </c>
      <c r="I149" s="5">
        <f t="shared" si="9"/>
        <v>16299200000</v>
      </c>
      <c r="J149" s="6" t="s">
        <v>23</v>
      </c>
      <c r="K149" s="6">
        <f t="shared" si="10"/>
        <v>30056.471440000001</v>
      </c>
      <c r="L149" s="10">
        <f t="shared" si="11"/>
        <v>18743.528559999999</v>
      </c>
      <c r="M149" s="10">
        <f t="shared" si="12"/>
        <v>6260338539.04</v>
      </c>
      <c r="N149" s="10"/>
      <c r="O149" s="26"/>
    </row>
    <row r="150" spans="1:21" x14ac:dyDescent="0.3">
      <c r="A150" s="3">
        <v>45596</v>
      </c>
      <c r="B150" s="22" t="s">
        <v>48</v>
      </c>
      <c r="C150" s="25">
        <v>2024</v>
      </c>
      <c r="D150" s="3" t="s">
        <v>7</v>
      </c>
      <c r="E150" t="s">
        <v>5</v>
      </c>
      <c r="F150" t="s">
        <v>15</v>
      </c>
      <c r="G150" s="4">
        <v>405000</v>
      </c>
      <c r="H150" s="5">
        <v>12300</v>
      </c>
      <c r="I150" s="5">
        <f t="shared" si="9"/>
        <v>4981500000</v>
      </c>
      <c r="J150" s="6" t="s">
        <v>23</v>
      </c>
      <c r="K150" s="6">
        <f t="shared" si="10"/>
        <v>7995</v>
      </c>
      <c r="L150" s="10">
        <f t="shared" si="11"/>
        <v>4305</v>
      </c>
      <c r="M150" s="10">
        <f t="shared" si="12"/>
        <v>1743525000</v>
      </c>
      <c r="N150" s="10"/>
      <c r="O150" s="26"/>
    </row>
    <row r="151" spans="1:21" x14ac:dyDescent="0.3">
      <c r="A151" s="3">
        <v>45596</v>
      </c>
      <c r="B151" s="22" t="s">
        <v>48</v>
      </c>
      <c r="C151" s="25">
        <v>2024</v>
      </c>
      <c r="D151" s="3" t="s">
        <v>8</v>
      </c>
      <c r="E151" t="s">
        <v>2</v>
      </c>
      <c r="F151" t="s">
        <v>15</v>
      </c>
      <c r="G151" s="4">
        <v>5830</v>
      </c>
      <c r="H151" s="5">
        <v>56750</v>
      </c>
      <c r="I151" s="5">
        <f t="shared" si="9"/>
        <v>330852500</v>
      </c>
      <c r="J151" s="6" t="s">
        <v>23</v>
      </c>
      <c r="K151" s="6">
        <f t="shared" si="10"/>
        <v>38419.75</v>
      </c>
      <c r="L151" s="10">
        <f t="shared" si="11"/>
        <v>18330.25</v>
      </c>
      <c r="M151" s="10">
        <f t="shared" si="12"/>
        <v>106865357.5</v>
      </c>
      <c r="N151" s="10"/>
      <c r="O151" s="26"/>
    </row>
    <row r="152" spans="1:21" x14ac:dyDescent="0.3">
      <c r="A152" s="3">
        <v>45596</v>
      </c>
      <c r="B152" s="22" t="s">
        <v>48</v>
      </c>
      <c r="C152" s="25">
        <v>2024</v>
      </c>
      <c r="D152" s="3" t="s">
        <v>8</v>
      </c>
      <c r="E152" t="s">
        <v>3</v>
      </c>
      <c r="F152" t="s">
        <v>15</v>
      </c>
      <c r="G152" s="4">
        <v>270000</v>
      </c>
      <c r="H152" s="5">
        <v>54550</v>
      </c>
      <c r="I152" s="5">
        <f t="shared" si="9"/>
        <v>14728500000</v>
      </c>
      <c r="J152" s="6" t="s">
        <v>23</v>
      </c>
      <c r="K152" s="6">
        <f t="shared" si="10"/>
        <v>36548.5</v>
      </c>
      <c r="L152" s="10">
        <f t="shared" si="11"/>
        <v>18001.5</v>
      </c>
      <c r="M152" s="10">
        <f t="shared" si="12"/>
        <v>4860405000</v>
      </c>
      <c r="N152" s="10"/>
      <c r="O152" s="26"/>
    </row>
    <row r="153" spans="1:21" x14ac:dyDescent="0.3">
      <c r="A153" s="3">
        <v>45596</v>
      </c>
      <c r="B153" s="22" t="s">
        <v>48</v>
      </c>
      <c r="C153" s="25">
        <v>2024</v>
      </c>
      <c r="D153" s="3" t="s">
        <v>8</v>
      </c>
      <c r="E153" t="s">
        <v>4</v>
      </c>
      <c r="F153" t="s">
        <v>16</v>
      </c>
      <c r="G153" s="4">
        <v>350000</v>
      </c>
      <c r="H153" s="5">
        <v>48800</v>
      </c>
      <c r="I153" s="5">
        <f t="shared" si="9"/>
        <v>17080000000</v>
      </c>
      <c r="J153" s="6" t="s">
        <v>23</v>
      </c>
      <c r="K153" s="6">
        <f t="shared" si="10"/>
        <v>30056.471440000001</v>
      </c>
      <c r="L153" s="10">
        <f t="shared" si="11"/>
        <v>18743.528559999999</v>
      </c>
      <c r="M153" s="10">
        <f t="shared" si="12"/>
        <v>6560234996</v>
      </c>
      <c r="N153" s="10"/>
      <c r="O153" s="26"/>
    </row>
    <row r="154" spans="1:21" x14ac:dyDescent="0.3">
      <c r="A154" s="3">
        <v>45596</v>
      </c>
      <c r="B154" s="22" t="s">
        <v>48</v>
      </c>
      <c r="C154" s="25">
        <v>2024</v>
      </c>
      <c r="D154" s="3" t="s">
        <v>8</v>
      </c>
      <c r="E154" t="s">
        <v>5</v>
      </c>
      <c r="F154" t="s">
        <v>15</v>
      </c>
      <c r="G154" s="4">
        <v>465600</v>
      </c>
      <c r="H154" s="5">
        <v>12300</v>
      </c>
      <c r="I154" s="5">
        <f t="shared" si="9"/>
        <v>5726880000</v>
      </c>
      <c r="J154" s="6" t="s">
        <v>23</v>
      </c>
      <c r="K154" s="6">
        <f t="shared" si="10"/>
        <v>7995</v>
      </c>
      <c r="L154" s="10">
        <f t="shared" si="11"/>
        <v>4305</v>
      </c>
      <c r="M154" s="10">
        <f t="shared" si="12"/>
        <v>2004408000</v>
      </c>
      <c r="N154" s="10"/>
      <c r="O154" s="26"/>
    </row>
    <row r="155" spans="1:21" x14ac:dyDescent="0.3">
      <c r="A155" s="3">
        <v>45596</v>
      </c>
      <c r="B155" s="22" t="s">
        <v>48</v>
      </c>
      <c r="C155" s="25">
        <v>2024</v>
      </c>
      <c r="D155" s="3" t="s">
        <v>9</v>
      </c>
      <c r="E155" t="s">
        <v>2</v>
      </c>
      <c r="F155" t="s">
        <v>15</v>
      </c>
      <c r="G155" s="4">
        <v>5900</v>
      </c>
      <c r="H155" s="5">
        <v>56750</v>
      </c>
      <c r="I155" s="5">
        <f t="shared" si="9"/>
        <v>334825000</v>
      </c>
      <c r="J155" s="6" t="s">
        <v>23</v>
      </c>
      <c r="K155" s="6">
        <f t="shared" si="10"/>
        <v>38419.75</v>
      </c>
      <c r="L155" s="10">
        <f t="shared" si="11"/>
        <v>18330.25</v>
      </c>
      <c r="M155" s="10">
        <f t="shared" si="12"/>
        <v>108148475</v>
      </c>
      <c r="N155" s="10"/>
      <c r="O155" s="26"/>
    </row>
    <row r="156" spans="1:21" x14ac:dyDescent="0.3">
      <c r="A156" s="3">
        <v>45596</v>
      </c>
      <c r="B156" s="22" t="s">
        <v>48</v>
      </c>
      <c r="C156" s="25">
        <v>2024</v>
      </c>
      <c r="D156" s="3" t="s">
        <v>9</v>
      </c>
      <c r="E156" t="s">
        <v>3</v>
      </c>
      <c r="F156" t="s">
        <v>15</v>
      </c>
      <c r="G156" s="4">
        <v>265000</v>
      </c>
      <c r="H156" s="5">
        <v>54550</v>
      </c>
      <c r="I156" s="5">
        <f t="shared" si="9"/>
        <v>14455750000</v>
      </c>
      <c r="J156" s="6" t="s">
        <v>23</v>
      </c>
      <c r="K156" s="6">
        <f t="shared" si="10"/>
        <v>36548.5</v>
      </c>
      <c r="L156" s="10">
        <f t="shared" si="11"/>
        <v>18001.5</v>
      </c>
      <c r="M156" s="10">
        <f t="shared" si="12"/>
        <v>4770397500</v>
      </c>
      <c r="N156" s="10"/>
      <c r="O156" s="26"/>
    </row>
    <row r="157" spans="1:21" x14ac:dyDescent="0.3">
      <c r="A157" s="3">
        <v>45596</v>
      </c>
      <c r="B157" s="22" t="s">
        <v>48</v>
      </c>
      <c r="C157" s="25">
        <v>2024</v>
      </c>
      <c r="D157" s="3" t="s">
        <v>9</v>
      </c>
      <c r="E157" t="s">
        <v>4</v>
      </c>
      <c r="F157" t="s">
        <v>16</v>
      </c>
      <c r="G157" s="4">
        <v>349000</v>
      </c>
      <c r="H157" s="5">
        <v>48800</v>
      </c>
      <c r="I157" s="5">
        <f t="shared" si="9"/>
        <v>17031200000</v>
      </c>
      <c r="J157" s="6" t="s">
        <v>23</v>
      </c>
      <c r="K157" s="6">
        <f t="shared" si="10"/>
        <v>30056.471440000001</v>
      </c>
      <c r="L157" s="10">
        <f t="shared" si="11"/>
        <v>18743.528559999999</v>
      </c>
      <c r="M157" s="10">
        <f t="shared" si="12"/>
        <v>6541491467.4399996</v>
      </c>
      <c r="N157" s="10"/>
      <c r="O157" s="26"/>
    </row>
    <row r="158" spans="1:21" x14ac:dyDescent="0.3">
      <c r="A158" s="3">
        <v>45596</v>
      </c>
      <c r="B158" s="22" t="s">
        <v>48</v>
      </c>
      <c r="C158" s="25">
        <v>2024</v>
      </c>
      <c r="D158" s="3" t="s">
        <v>9</v>
      </c>
      <c r="E158" t="s">
        <v>5</v>
      </c>
      <c r="F158" t="s">
        <v>15</v>
      </c>
      <c r="G158" s="4">
        <v>457000</v>
      </c>
      <c r="H158" s="5">
        <v>12300</v>
      </c>
      <c r="I158" s="5">
        <f t="shared" si="9"/>
        <v>5621100000</v>
      </c>
      <c r="J158" s="6" t="s">
        <v>23</v>
      </c>
      <c r="K158" s="6">
        <f t="shared" si="10"/>
        <v>7995</v>
      </c>
      <c r="L158" s="10">
        <f t="shared" si="11"/>
        <v>4305</v>
      </c>
      <c r="M158" s="10">
        <f t="shared" si="12"/>
        <v>1967385000</v>
      </c>
      <c r="N158" s="10"/>
      <c r="O158" s="26"/>
    </row>
    <row r="159" spans="1:21" x14ac:dyDescent="0.3">
      <c r="A159" s="3">
        <v>45596</v>
      </c>
      <c r="B159" s="22" t="s">
        <v>48</v>
      </c>
      <c r="C159" s="25">
        <v>2024</v>
      </c>
      <c r="D159" s="3" t="s">
        <v>10</v>
      </c>
      <c r="E159" t="s">
        <v>2</v>
      </c>
      <c r="F159" t="s">
        <v>15</v>
      </c>
      <c r="G159" s="4">
        <v>6450</v>
      </c>
      <c r="H159" s="5">
        <v>56750</v>
      </c>
      <c r="I159" s="5">
        <f t="shared" si="9"/>
        <v>366037500</v>
      </c>
      <c r="J159" s="6" t="s">
        <v>23</v>
      </c>
      <c r="K159" s="6">
        <f t="shared" si="10"/>
        <v>38419.75</v>
      </c>
      <c r="L159" s="10">
        <f t="shared" si="11"/>
        <v>18330.25</v>
      </c>
      <c r="M159" s="10">
        <f t="shared" si="12"/>
        <v>118230112.5</v>
      </c>
      <c r="N159" s="10"/>
      <c r="O159" s="26"/>
    </row>
    <row r="160" spans="1:21" x14ac:dyDescent="0.3">
      <c r="A160" s="3">
        <v>45596</v>
      </c>
      <c r="B160" s="22" t="s">
        <v>48</v>
      </c>
      <c r="C160" s="25">
        <v>2024</v>
      </c>
      <c r="D160" s="3" t="s">
        <v>10</v>
      </c>
      <c r="E160" t="s">
        <v>3</v>
      </c>
      <c r="F160" t="s">
        <v>15</v>
      </c>
      <c r="G160" s="4">
        <v>290000</v>
      </c>
      <c r="H160" s="5">
        <v>54550</v>
      </c>
      <c r="I160" s="5">
        <f t="shared" si="9"/>
        <v>15819500000</v>
      </c>
      <c r="J160" s="6" t="s">
        <v>23</v>
      </c>
      <c r="K160" s="6">
        <f t="shared" si="10"/>
        <v>36548.5</v>
      </c>
      <c r="L160" s="10">
        <f t="shared" si="11"/>
        <v>18001.5</v>
      </c>
      <c r="M160" s="10">
        <f t="shared" si="12"/>
        <v>5220435000</v>
      </c>
      <c r="N160" s="10"/>
      <c r="O160" s="26"/>
    </row>
    <row r="161" spans="1:21" x14ac:dyDescent="0.3">
      <c r="A161" s="3">
        <v>45596</v>
      </c>
      <c r="B161" s="22" t="s">
        <v>48</v>
      </c>
      <c r="C161" s="25">
        <v>2024</v>
      </c>
      <c r="D161" s="3" t="s">
        <v>10</v>
      </c>
      <c r="E161" t="s">
        <v>4</v>
      </c>
      <c r="F161" t="s">
        <v>16</v>
      </c>
      <c r="G161" s="4">
        <v>332000</v>
      </c>
      <c r="H161" s="5">
        <v>48800</v>
      </c>
      <c r="I161" s="5">
        <f t="shared" si="9"/>
        <v>16201600000</v>
      </c>
      <c r="J161" s="6" t="s">
        <v>23</v>
      </c>
      <c r="K161" s="6">
        <f t="shared" si="10"/>
        <v>30056.471440000001</v>
      </c>
      <c r="L161" s="10">
        <f t="shared" si="11"/>
        <v>18743.528559999999</v>
      </c>
      <c r="M161" s="10">
        <f t="shared" si="12"/>
        <v>6222851481.9200001</v>
      </c>
      <c r="N161" s="10"/>
      <c r="O161" s="26"/>
    </row>
    <row r="162" spans="1:21" x14ac:dyDescent="0.3">
      <c r="A162" s="3">
        <v>45596</v>
      </c>
      <c r="B162" s="22" t="s">
        <v>48</v>
      </c>
      <c r="C162" s="25">
        <v>2024</v>
      </c>
      <c r="D162" s="3" t="s">
        <v>10</v>
      </c>
      <c r="E162" t="s">
        <v>5</v>
      </c>
      <c r="F162" t="s">
        <v>15</v>
      </c>
      <c r="G162" s="4">
        <v>372500</v>
      </c>
      <c r="H162" s="5">
        <v>12300</v>
      </c>
      <c r="I162" s="5">
        <f t="shared" si="9"/>
        <v>4581750000</v>
      </c>
      <c r="J162" s="6" t="s">
        <v>23</v>
      </c>
      <c r="K162" s="6">
        <f t="shared" si="10"/>
        <v>7995</v>
      </c>
      <c r="L162" s="10">
        <f t="shared" si="11"/>
        <v>4305</v>
      </c>
      <c r="M162" s="10">
        <f t="shared" si="12"/>
        <v>1603612500</v>
      </c>
      <c r="N162" s="10"/>
      <c r="O162" s="26"/>
      <c r="U162" s="5"/>
    </row>
    <row r="163" spans="1:21" x14ac:dyDescent="0.3">
      <c r="A163" s="3">
        <v>45626</v>
      </c>
      <c r="B163" s="22" t="s">
        <v>49</v>
      </c>
      <c r="C163" s="25">
        <v>2024</v>
      </c>
      <c r="D163" s="3" t="s">
        <v>7</v>
      </c>
      <c r="E163" t="s">
        <v>2</v>
      </c>
      <c r="F163" t="s">
        <v>15</v>
      </c>
      <c r="G163" s="4">
        <v>6000</v>
      </c>
      <c r="H163" s="5">
        <v>56750</v>
      </c>
      <c r="I163" s="5">
        <f t="shared" si="9"/>
        <v>340500000</v>
      </c>
      <c r="J163" s="6" t="s">
        <v>23</v>
      </c>
      <c r="K163" s="6">
        <f t="shared" si="10"/>
        <v>38419.75</v>
      </c>
      <c r="L163" s="10">
        <f t="shared" si="11"/>
        <v>18330.25</v>
      </c>
      <c r="M163" s="10">
        <f t="shared" si="12"/>
        <v>109981500</v>
      </c>
      <c r="N163" s="10"/>
      <c r="O163" s="26"/>
    </row>
    <row r="164" spans="1:21" x14ac:dyDescent="0.3">
      <c r="A164" s="3">
        <v>45626</v>
      </c>
      <c r="B164" s="22" t="s">
        <v>49</v>
      </c>
      <c r="C164" s="25">
        <v>2024</v>
      </c>
      <c r="D164" s="3" t="s">
        <v>7</v>
      </c>
      <c r="E164" t="s">
        <v>3</v>
      </c>
      <c r="F164" t="s">
        <v>15</v>
      </c>
      <c r="G164" s="4">
        <v>308000</v>
      </c>
      <c r="H164" s="5">
        <v>54550</v>
      </c>
      <c r="I164" s="5">
        <f t="shared" si="9"/>
        <v>16801400000</v>
      </c>
      <c r="J164" s="6" t="s">
        <v>23</v>
      </c>
      <c r="K164" s="6">
        <f t="shared" si="10"/>
        <v>36548.5</v>
      </c>
      <c r="L164" s="10">
        <f t="shared" si="11"/>
        <v>18001.5</v>
      </c>
      <c r="M164" s="10">
        <f t="shared" si="12"/>
        <v>5544462000</v>
      </c>
      <c r="N164" s="10"/>
      <c r="O164" s="26"/>
    </row>
    <row r="165" spans="1:21" x14ac:dyDescent="0.3">
      <c r="A165" s="3">
        <v>45626</v>
      </c>
      <c r="B165" s="22" t="s">
        <v>49</v>
      </c>
      <c r="C165" s="25">
        <v>2024</v>
      </c>
      <c r="D165" s="3" t="s">
        <v>7</v>
      </c>
      <c r="E165" t="s">
        <v>4</v>
      </c>
      <c r="F165" t="s">
        <v>16</v>
      </c>
      <c r="G165" s="4">
        <v>330000</v>
      </c>
      <c r="H165" s="5">
        <v>48800</v>
      </c>
      <c r="I165" s="5">
        <f t="shared" si="9"/>
        <v>16104000000</v>
      </c>
      <c r="J165" s="6" t="s">
        <v>23</v>
      </c>
      <c r="K165" s="6">
        <f t="shared" si="10"/>
        <v>30056.471440000001</v>
      </c>
      <c r="L165" s="10">
        <f t="shared" si="11"/>
        <v>18743.528559999999</v>
      </c>
      <c r="M165" s="10">
        <f t="shared" si="12"/>
        <v>6185364424.7999992</v>
      </c>
      <c r="N165" s="10"/>
      <c r="O165" s="26"/>
    </row>
    <row r="166" spans="1:21" x14ac:dyDescent="0.3">
      <c r="A166" s="3">
        <v>45626</v>
      </c>
      <c r="B166" s="22" t="s">
        <v>49</v>
      </c>
      <c r="C166" s="25">
        <v>2024</v>
      </c>
      <c r="D166" s="3" t="s">
        <v>7</v>
      </c>
      <c r="E166" t="s">
        <v>5</v>
      </c>
      <c r="F166" t="s">
        <v>15</v>
      </c>
      <c r="G166" s="4">
        <v>370000</v>
      </c>
      <c r="H166" s="5">
        <v>12300</v>
      </c>
      <c r="I166" s="5">
        <f t="shared" si="9"/>
        <v>4551000000</v>
      </c>
      <c r="J166" s="6" t="s">
        <v>23</v>
      </c>
      <c r="K166" s="6">
        <f t="shared" si="10"/>
        <v>7995</v>
      </c>
      <c r="L166" s="10">
        <f t="shared" si="11"/>
        <v>4305</v>
      </c>
      <c r="M166" s="10">
        <f t="shared" si="12"/>
        <v>1592850000</v>
      </c>
      <c r="N166" s="10"/>
      <c r="O166" s="26"/>
    </row>
    <row r="167" spans="1:21" x14ac:dyDescent="0.3">
      <c r="A167" s="3">
        <v>45626</v>
      </c>
      <c r="B167" s="22" t="s">
        <v>49</v>
      </c>
      <c r="C167" s="25">
        <v>2024</v>
      </c>
      <c r="D167" s="3" t="s">
        <v>8</v>
      </c>
      <c r="E167" t="s">
        <v>2</v>
      </c>
      <c r="F167" t="s">
        <v>15</v>
      </c>
      <c r="G167" s="4">
        <v>5650</v>
      </c>
      <c r="H167" s="5">
        <v>56750</v>
      </c>
      <c r="I167" s="5">
        <f t="shared" si="9"/>
        <v>320637500</v>
      </c>
      <c r="J167" s="6" t="s">
        <v>23</v>
      </c>
      <c r="K167" s="6">
        <f t="shared" si="10"/>
        <v>38419.75</v>
      </c>
      <c r="L167" s="10">
        <f t="shared" si="11"/>
        <v>18330.25</v>
      </c>
      <c r="M167" s="10">
        <f t="shared" si="12"/>
        <v>103565912.5</v>
      </c>
      <c r="N167" s="10"/>
      <c r="O167" s="26"/>
    </row>
    <row r="168" spans="1:21" x14ac:dyDescent="0.3">
      <c r="A168" s="3">
        <v>45626</v>
      </c>
      <c r="B168" s="22" t="s">
        <v>49</v>
      </c>
      <c r="C168" s="25">
        <v>2024</v>
      </c>
      <c r="D168" s="3" t="s">
        <v>8</v>
      </c>
      <c r="E168" t="s">
        <v>3</v>
      </c>
      <c r="F168" t="s">
        <v>15</v>
      </c>
      <c r="G168" s="4">
        <v>271000</v>
      </c>
      <c r="H168" s="5">
        <v>54550</v>
      </c>
      <c r="I168" s="5">
        <f t="shared" si="9"/>
        <v>14783050000</v>
      </c>
      <c r="J168" s="6" t="s">
        <v>23</v>
      </c>
      <c r="K168" s="6">
        <f t="shared" si="10"/>
        <v>36548.5</v>
      </c>
      <c r="L168" s="10">
        <f t="shared" si="11"/>
        <v>18001.5</v>
      </c>
      <c r="M168" s="10">
        <f t="shared" si="12"/>
        <v>4878406500</v>
      </c>
      <c r="N168" s="10"/>
      <c r="O168" s="26"/>
    </row>
    <row r="169" spans="1:21" x14ac:dyDescent="0.3">
      <c r="A169" s="3">
        <v>45626</v>
      </c>
      <c r="B169" s="22" t="s">
        <v>49</v>
      </c>
      <c r="C169" s="25">
        <v>2024</v>
      </c>
      <c r="D169" s="3" t="s">
        <v>8</v>
      </c>
      <c r="E169" t="s">
        <v>4</v>
      </c>
      <c r="F169" t="s">
        <v>16</v>
      </c>
      <c r="G169" s="4">
        <v>342000</v>
      </c>
      <c r="H169" s="5">
        <v>48800</v>
      </c>
      <c r="I169" s="5">
        <f t="shared" si="9"/>
        <v>16689600000</v>
      </c>
      <c r="J169" s="6" t="s">
        <v>23</v>
      </c>
      <c r="K169" s="6">
        <f t="shared" si="10"/>
        <v>30056.471440000001</v>
      </c>
      <c r="L169" s="10">
        <f t="shared" si="11"/>
        <v>18743.528559999999</v>
      </c>
      <c r="M169" s="10">
        <f t="shared" si="12"/>
        <v>6410286767.5199995</v>
      </c>
      <c r="N169" s="10"/>
      <c r="O169" s="26"/>
    </row>
    <row r="170" spans="1:21" x14ac:dyDescent="0.3">
      <c r="A170" s="3">
        <v>45626</v>
      </c>
      <c r="B170" s="22" t="s">
        <v>49</v>
      </c>
      <c r="C170" s="25">
        <v>2024</v>
      </c>
      <c r="D170" s="3" t="s">
        <v>8</v>
      </c>
      <c r="E170" t="s">
        <v>5</v>
      </c>
      <c r="F170" t="s">
        <v>15</v>
      </c>
      <c r="G170" s="4">
        <v>443500</v>
      </c>
      <c r="H170" s="5">
        <v>12300</v>
      </c>
      <c r="I170" s="5">
        <f t="shared" ref="I170:I194" si="13">H170*G170</f>
        <v>5455050000</v>
      </c>
      <c r="J170" s="6" t="s">
        <v>23</v>
      </c>
      <c r="K170" s="6">
        <f t="shared" si="10"/>
        <v>7995</v>
      </c>
      <c r="L170" s="10">
        <f t="shared" si="11"/>
        <v>4305</v>
      </c>
      <c r="M170" s="10">
        <f t="shared" si="12"/>
        <v>1909267500</v>
      </c>
      <c r="N170" s="10"/>
      <c r="O170" s="26"/>
    </row>
    <row r="171" spans="1:21" x14ac:dyDescent="0.3">
      <c r="A171" s="3">
        <v>45626</v>
      </c>
      <c r="B171" s="22" t="s">
        <v>49</v>
      </c>
      <c r="C171" s="25">
        <v>2024</v>
      </c>
      <c r="D171" s="3" t="s">
        <v>9</v>
      </c>
      <c r="E171" t="s">
        <v>2</v>
      </c>
      <c r="F171" t="s">
        <v>15</v>
      </c>
      <c r="G171" s="4">
        <v>5900</v>
      </c>
      <c r="H171" s="5">
        <v>56750</v>
      </c>
      <c r="I171" s="5">
        <f t="shared" si="13"/>
        <v>334825000</v>
      </c>
      <c r="J171" s="6" t="s">
        <v>23</v>
      </c>
      <c r="K171" s="6">
        <f t="shared" si="10"/>
        <v>38419.75</v>
      </c>
      <c r="L171" s="10">
        <f t="shared" si="11"/>
        <v>18330.25</v>
      </c>
      <c r="M171" s="10">
        <f t="shared" si="12"/>
        <v>108148475</v>
      </c>
      <c r="N171" s="10"/>
      <c r="O171" s="26"/>
    </row>
    <row r="172" spans="1:21" x14ac:dyDescent="0.3">
      <c r="A172" s="3">
        <v>45626</v>
      </c>
      <c r="B172" s="22" t="s">
        <v>49</v>
      </c>
      <c r="C172" s="25">
        <v>2024</v>
      </c>
      <c r="D172" s="3" t="s">
        <v>9</v>
      </c>
      <c r="E172" t="s">
        <v>3</v>
      </c>
      <c r="F172" t="s">
        <v>15</v>
      </c>
      <c r="G172" s="4">
        <v>266400</v>
      </c>
      <c r="H172" s="5">
        <v>54550</v>
      </c>
      <c r="I172" s="5">
        <f t="shared" si="13"/>
        <v>14532120000</v>
      </c>
      <c r="J172" s="6" t="s">
        <v>23</v>
      </c>
      <c r="K172" s="6">
        <f t="shared" si="10"/>
        <v>36548.5</v>
      </c>
      <c r="L172" s="10">
        <f t="shared" si="11"/>
        <v>18001.5</v>
      </c>
      <c r="M172" s="10">
        <f t="shared" si="12"/>
        <v>4795599600</v>
      </c>
      <c r="N172" s="10"/>
      <c r="O172" s="26"/>
    </row>
    <row r="173" spans="1:21" x14ac:dyDescent="0.3">
      <c r="A173" s="3">
        <v>45626</v>
      </c>
      <c r="B173" s="22" t="s">
        <v>49</v>
      </c>
      <c r="C173" s="25">
        <v>2024</v>
      </c>
      <c r="D173" s="3" t="s">
        <v>9</v>
      </c>
      <c r="E173" t="s">
        <v>4</v>
      </c>
      <c r="F173" t="s">
        <v>16</v>
      </c>
      <c r="G173" s="4">
        <v>347200</v>
      </c>
      <c r="H173" s="5">
        <v>48800</v>
      </c>
      <c r="I173" s="5">
        <f t="shared" si="13"/>
        <v>16943360000</v>
      </c>
      <c r="J173" s="6" t="s">
        <v>23</v>
      </c>
      <c r="K173" s="6">
        <f t="shared" si="10"/>
        <v>30056.471440000001</v>
      </c>
      <c r="L173" s="10">
        <f t="shared" si="11"/>
        <v>18743.528559999999</v>
      </c>
      <c r="M173" s="10">
        <f t="shared" si="12"/>
        <v>6507753116.0319996</v>
      </c>
      <c r="N173" s="10"/>
      <c r="O173" s="26"/>
    </row>
    <row r="174" spans="1:21" x14ac:dyDescent="0.3">
      <c r="A174" s="3">
        <v>45626</v>
      </c>
      <c r="B174" s="22" t="s">
        <v>49</v>
      </c>
      <c r="C174" s="25">
        <v>2024</v>
      </c>
      <c r="D174" s="3" t="s">
        <v>9</v>
      </c>
      <c r="E174" t="s">
        <v>5</v>
      </c>
      <c r="F174" t="s">
        <v>15</v>
      </c>
      <c r="G174" s="4">
        <v>445000</v>
      </c>
      <c r="H174" s="5">
        <v>12300</v>
      </c>
      <c r="I174" s="5">
        <f t="shared" si="13"/>
        <v>5473500000</v>
      </c>
      <c r="J174" s="6" t="s">
        <v>23</v>
      </c>
      <c r="K174" s="6">
        <f t="shared" si="10"/>
        <v>7995</v>
      </c>
      <c r="L174" s="10">
        <f t="shared" si="11"/>
        <v>4305</v>
      </c>
      <c r="M174" s="10">
        <f t="shared" si="12"/>
        <v>1915725000</v>
      </c>
      <c r="N174" s="10"/>
      <c r="O174" s="26"/>
    </row>
    <row r="175" spans="1:21" x14ac:dyDescent="0.3">
      <c r="A175" s="3">
        <v>45626</v>
      </c>
      <c r="B175" s="22" t="s">
        <v>49</v>
      </c>
      <c r="C175" s="25">
        <v>2024</v>
      </c>
      <c r="D175" s="3" t="s">
        <v>10</v>
      </c>
      <c r="E175" t="s">
        <v>2</v>
      </c>
      <c r="F175" t="s">
        <v>15</v>
      </c>
      <c r="G175" s="4">
        <v>6400</v>
      </c>
      <c r="H175" s="5">
        <v>56750</v>
      </c>
      <c r="I175" s="5">
        <f t="shared" si="13"/>
        <v>363200000</v>
      </c>
      <c r="J175" s="6" t="s">
        <v>23</v>
      </c>
      <c r="K175" s="6">
        <f t="shared" si="10"/>
        <v>38419.75</v>
      </c>
      <c r="L175" s="10">
        <f t="shared" si="11"/>
        <v>18330.25</v>
      </c>
      <c r="M175" s="10">
        <f t="shared" si="12"/>
        <v>117313600</v>
      </c>
      <c r="N175" s="10"/>
      <c r="O175" s="26"/>
    </row>
    <row r="176" spans="1:21" x14ac:dyDescent="0.3">
      <c r="A176" s="3">
        <v>45626</v>
      </c>
      <c r="B176" s="22" t="s">
        <v>49</v>
      </c>
      <c r="C176" s="25">
        <v>2024</v>
      </c>
      <c r="D176" s="3" t="s">
        <v>10</v>
      </c>
      <c r="E176" t="s">
        <v>3</v>
      </c>
      <c r="F176" t="s">
        <v>15</v>
      </c>
      <c r="G176" s="4">
        <v>315000</v>
      </c>
      <c r="H176" s="5">
        <v>54550</v>
      </c>
      <c r="I176" s="5">
        <f t="shared" si="13"/>
        <v>17183250000</v>
      </c>
      <c r="J176" s="6" t="s">
        <v>23</v>
      </c>
      <c r="K176" s="6">
        <f t="shared" si="10"/>
        <v>36548.5</v>
      </c>
      <c r="L176" s="10">
        <f t="shared" si="11"/>
        <v>18001.5</v>
      </c>
      <c r="M176" s="10">
        <f t="shared" si="12"/>
        <v>5670472500</v>
      </c>
      <c r="N176" s="10"/>
      <c r="O176" s="26"/>
    </row>
    <row r="177" spans="1:21" x14ac:dyDescent="0.3">
      <c r="A177" s="3">
        <v>45626</v>
      </c>
      <c r="B177" s="22" t="s">
        <v>49</v>
      </c>
      <c r="C177" s="25">
        <v>2024</v>
      </c>
      <c r="D177" s="3" t="s">
        <v>10</v>
      </c>
      <c r="E177" t="s">
        <v>4</v>
      </c>
      <c r="F177" t="s">
        <v>16</v>
      </c>
      <c r="G177" s="4">
        <v>334100</v>
      </c>
      <c r="H177" s="5">
        <v>48800</v>
      </c>
      <c r="I177" s="5">
        <f t="shared" si="13"/>
        <v>16304080000</v>
      </c>
      <c r="J177" s="6" t="s">
        <v>23</v>
      </c>
      <c r="K177" s="6">
        <f t="shared" si="10"/>
        <v>30056.471440000001</v>
      </c>
      <c r="L177" s="10">
        <f t="shared" si="11"/>
        <v>18743.528559999999</v>
      </c>
      <c r="M177" s="10">
        <f t="shared" si="12"/>
        <v>6262212891.8959999</v>
      </c>
      <c r="N177" s="10"/>
      <c r="O177" s="26"/>
    </row>
    <row r="178" spans="1:21" x14ac:dyDescent="0.3">
      <c r="A178" s="3">
        <v>45626</v>
      </c>
      <c r="B178" s="22" t="s">
        <v>49</v>
      </c>
      <c r="C178" s="25">
        <v>2024</v>
      </c>
      <c r="D178" s="3" t="s">
        <v>10</v>
      </c>
      <c r="E178" t="s">
        <v>5</v>
      </c>
      <c r="F178" t="s">
        <v>15</v>
      </c>
      <c r="G178" s="4">
        <v>350300</v>
      </c>
      <c r="H178" s="5">
        <v>12300</v>
      </c>
      <c r="I178" s="5">
        <f t="shared" si="13"/>
        <v>4308690000</v>
      </c>
      <c r="J178" s="6" t="s">
        <v>23</v>
      </c>
      <c r="K178" s="6">
        <f t="shared" si="10"/>
        <v>7995</v>
      </c>
      <c r="L178" s="10">
        <f t="shared" si="11"/>
        <v>4305</v>
      </c>
      <c r="M178" s="10">
        <f t="shared" si="12"/>
        <v>1508041500</v>
      </c>
      <c r="N178" s="10"/>
      <c r="O178" s="26"/>
      <c r="U178" s="5"/>
    </row>
    <row r="179" spans="1:21" x14ac:dyDescent="0.3">
      <c r="A179" s="3">
        <v>45657</v>
      </c>
      <c r="B179" s="22" t="s">
        <v>50</v>
      </c>
      <c r="C179" s="25">
        <v>2024</v>
      </c>
      <c r="D179" s="3" t="s">
        <v>7</v>
      </c>
      <c r="E179" t="s">
        <v>2</v>
      </c>
      <c r="F179" t="s">
        <v>15</v>
      </c>
      <c r="G179" s="4">
        <v>6000</v>
      </c>
      <c r="H179" s="5">
        <v>56750</v>
      </c>
      <c r="I179" s="5">
        <f t="shared" si="13"/>
        <v>340500000</v>
      </c>
      <c r="J179" s="6" t="s">
        <v>23</v>
      </c>
      <c r="K179" s="6">
        <f t="shared" si="10"/>
        <v>38419.75</v>
      </c>
      <c r="L179" s="10">
        <f t="shared" si="11"/>
        <v>18330.25</v>
      </c>
      <c r="M179" s="10">
        <f t="shared" si="12"/>
        <v>109981500</v>
      </c>
      <c r="N179" s="10"/>
      <c r="O179" s="26"/>
    </row>
    <row r="180" spans="1:21" x14ac:dyDescent="0.3">
      <c r="A180" s="3">
        <v>45657</v>
      </c>
      <c r="B180" s="22" t="s">
        <v>50</v>
      </c>
      <c r="C180" s="25">
        <v>2024</v>
      </c>
      <c r="D180" s="3" t="s">
        <v>7</v>
      </c>
      <c r="E180" t="s">
        <v>3</v>
      </c>
      <c r="F180" t="s">
        <v>15</v>
      </c>
      <c r="G180" s="4">
        <v>319500</v>
      </c>
      <c r="H180" s="5">
        <v>54550</v>
      </c>
      <c r="I180" s="5">
        <f t="shared" si="13"/>
        <v>17428725000</v>
      </c>
      <c r="J180" s="6" t="s">
        <v>23</v>
      </c>
      <c r="K180" s="6">
        <f t="shared" si="10"/>
        <v>36548.5</v>
      </c>
      <c r="L180" s="10">
        <f t="shared" si="11"/>
        <v>18001.5</v>
      </c>
      <c r="M180" s="10">
        <f t="shared" si="12"/>
        <v>5751479250</v>
      </c>
      <c r="N180" s="10"/>
      <c r="O180" s="26"/>
    </row>
    <row r="181" spans="1:21" x14ac:dyDescent="0.3">
      <c r="A181" s="3">
        <v>45657</v>
      </c>
      <c r="B181" s="22" t="s">
        <v>50</v>
      </c>
      <c r="C181" s="25">
        <v>2024</v>
      </c>
      <c r="D181" s="3" t="s">
        <v>7</v>
      </c>
      <c r="E181" t="s">
        <v>4</v>
      </c>
      <c r="F181" t="s">
        <v>16</v>
      </c>
      <c r="G181" s="4">
        <v>335000</v>
      </c>
      <c r="H181" s="5">
        <v>48800</v>
      </c>
      <c r="I181" s="5">
        <f t="shared" si="13"/>
        <v>16348000000</v>
      </c>
      <c r="J181" s="6" t="s">
        <v>23</v>
      </c>
      <c r="K181" s="6">
        <f t="shared" si="10"/>
        <v>30056.471440000001</v>
      </c>
      <c r="L181" s="10">
        <f t="shared" si="11"/>
        <v>18743.528559999999</v>
      </c>
      <c r="M181" s="10">
        <f t="shared" si="12"/>
        <v>6279082067.5999994</v>
      </c>
      <c r="N181" s="10"/>
      <c r="O181" s="26"/>
    </row>
    <row r="182" spans="1:21" x14ac:dyDescent="0.3">
      <c r="A182" s="3">
        <v>45657</v>
      </c>
      <c r="B182" s="22" t="s">
        <v>50</v>
      </c>
      <c r="C182" s="25">
        <v>2024</v>
      </c>
      <c r="D182" s="3" t="s">
        <v>7</v>
      </c>
      <c r="E182" t="s">
        <v>5</v>
      </c>
      <c r="F182" t="s">
        <v>15</v>
      </c>
      <c r="G182" s="4">
        <v>418000</v>
      </c>
      <c r="H182" s="5">
        <v>12300</v>
      </c>
      <c r="I182" s="5">
        <f t="shared" si="13"/>
        <v>5141400000</v>
      </c>
      <c r="J182" s="6" t="s">
        <v>23</v>
      </c>
      <c r="K182" s="6">
        <f t="shared" si="10"/>
        <v>7995</v>
      </c>
      <c r="L182" s="10">
        <f t="shared" si="11"/>
        <v>4305</v>
      </c>
      <c r="M182" s="10">
        <f t="shared" si="12"/>
        <v>1799490000</v>
      </c>
      <c r="N182" s="10"/>
      <c r="O182" s="26"/>
    </row>
    <row r="183" spans="1:21" x14ac:dyDescent="0.3">
      <c r="A183" s="3">
        <v>45657</v>
      </c>
      <c r="B183" s="22" t="s">
        <v>50</v>
      </c>
      <c r="C183" s="25">
        <v>2024</v>
      </c>
      <c r="D183" s="3" t="s">
        <v>8</v>
      </c>
      <c r="E183" t="s">
        <v>2</v>
      </c>
      <c r="F183" t="s">
        <v>15</v>
      </c>
      <c r="G183" s="4">
        <v>6035</v>
      </c>
      <c r="H183" s="5">
        <v>56750</v>
      </c>
      <c r="I183" s="5">
        <f t="shared" si="13"/>
        <v>342486250</v>
      </c>
      <c r="J183" s="6" t="s">
        <v>23</v>
      </c>
      <c r="K183" s="6">
        <f t="shared" si="10"/>
        <v>38419.75</v>
      </c>
      <c r="L183" s="10">
        <f t="shared" si="11"/>
        <v>18330.25</v>
      </c>
      <c r="M183" s="10">
        <f t="shared" si="12"/>
        <v>110623058.75</v>
      </c>
      <c r="N183" s="10"/>
      <c r="O183" s="26"/>
    </row>
    <row r="184" spans="1:21" x14ac:dyDescent="0.3">
      <c r="A184" s="3">
        <v>45657</v>
      </c>
      <c r="B184" s="22" t="s">
        <v>50</v>
      </c>
      <c r="C184" s="25">
        <v>2024</v>
      </c>
      <c r="D184" s="3" t="s">
        <v>8</v>
      </c>
      <c r="E184" t="s">
        <v>3</v>
      </c>
      <c r="F184" t="s">
        <v>15</v>
      </c>
      <c r="G184" s="4">
        <v>270000</v>
      </c>
      <c r="H184" s="5">
        <v>54550</v>
      </c>
      <c r="I184" s="5">
        <f t="shared" si="13"/>
        <v>14728500000</v>
      </c>
      <c r="J184" s="6" t="s">
        <v>23</v>
      </c>
      <c r="K184" s="6">
        <f t="shared" si="10"/>
        <v>36548.5</v>
      </c>
      <c r="L184" s="10">
        <f t="shared" si="11"/>
        <v>18001.5</v>
      </c>
      <c r="M184" s="10">
        <f t="shared" si="12"/>
        <v>4860405000</v>
      </c>
      <c r="N184" s="10"/>
      <c r="O184" s="26"/>
    </row>
    <row r="185" spans="1:21" x14ac:dyDescent="0.3">
      <c r="A185" s="3">
        <v>45657</v>
      </c>
      <c r="B185" s="22" t="s">
        <v>50</v>
      </c>
      <c r="C185" s="25">
        <v>2024</v>
      </c>
      <c r="D185" s="3" t="s">
        <v>8</v>
      </c>
      <c r="E185" t="s">
        <v>4</v>
      </c>
      <c r="F185" t="s">
        <v>16</v>
      </c>
      <c r="G185" s="4">
        <v>351000</v>
      </c>
      <c r="H185" s="5">
        <v>48800</v>
      </c>
      <c r="I185" s="5">
        <f t="shared" si="13"/>
        <v>17128800000</v>
      </c>
      <c r="J185" s="6" t="s">
        <v>23</v>
      </c>
      <c r="K185" s="6">
        <f t="shared" si="10"/>
        <v>30056.471440000001</v>
      </c>
      <c r="L185" s="10">
        <f t="shared" si="11"/>
        <v>18743.528559999999</v>
      </c>
      <c r="M185" s="10">
        <f t="shared" si="12"/>
        <v>6578978524.5599995</v>
      </c>
      <c r="N185" s="10"/>
      <c r="O185" s="26"/>
      <c r="Q185" s="7" t="s">
        <v>35</v>
      </c>
    </row>
    <row r="186" spans="1:21" x14ac:dyDescent="0.3">
      <c r="A186" s="3">
        <v>45657</v>
      </c>
      <c r="B186" s="22" t="s">
        <v>50</v>
      </c>
      <c r="C186" s="25">
        <v>2024</v>
      </c>
      <c r="D186" s="3" t="s">
        <v>8</v>
      </c>
      <c r="E186" t="s">
        <v>5</v>
      </c>
      <c r="F186" t="s">
        <v>15</v>
      </c>
      <c r="G186" s="4">
        <v>446000</v>
      </c>
      <c r="H186" s="5">
        <v>12300</v>
      </c>
      <c r="I186" s="5">
        <f t="shared" si="13"/>
        <v>5485800000</v>
      </c>
      <c r="J186" s="6" t="s">
        <v>23</v>
      </c>
      <c r="K186" s="6">
        <f t="shared" si="10"/>
        <v>7995</v>
      </c>
      <c r="L186" s="10">
        <f t="shared" si="11"/>
        <v>4305</v>
      </c>
      <c r="M186" s="10">
        <f t="shared" si="12"/>
        <v>1920030000</v>
      </c>
      <c r="N186" s="10"/>
      <c r="O186" s="26"/>
    </row>
    <row r="187" spans="1:21" x14ac:dyDescent="0.3">
      <c r="A187" s="3">
        <v>45657</v>
      </c>
      <c r="B187" s="22" t="s">
        <v>50</v>
      </c>
      <c r="C187" s="25">
        <v>2024</v>
      </c>
      <c r="D187" s="3" t="s">
        <v>9</v>
      </c>
      <c r="E187" t="s">
        <v>2</v>
      </c>
      <c r="F187" t="s">
        <v>15</v>
      </c>
      <c r="G187" s="4">
        <v>5600</v>
      </c>
      <c r="H187" s="5">
        <v>56750</v>
      </c>
      <c r="I187" s="5">
        <f t="shared" si="13"/>
        <v>317800000</v>
      </c>
      <c r="J187" s="6" t="s">
        <v>23</v>
      </c>
      <c r="K187" s="6">
        <f t="shared" si="10"/>
        <v>38419.75</v>
      </c>
      <c r="L187" s="10">
        <f t="shared" si="11"/>
        <v>18330.25</v>
      </c>
      <c r="M187" s="10">
        <f t="shared" si="12"/>
        <v>102649400</v>
      </c>
      <c r="N187" s="10"/>
      <c r="O187" s="26"/>
    </row>
    <row r="188" spans="1:21" x14ac:dyDescent="0.3">
      <c r="A188" s="3">
        <v>45657</v>
      </c>
      <c r="B188" s="22" t="s">
        <v>50</v>
      </c>
      <c r="C188" s="25">
        <v>2024</v>
      </c>
      <c r="D188" s="3" t="s">
        <v>9</v>
      </c>
      <c r="E188" t="s">
        <v>3</v>
      </c>
      <c r="F188" t="s">
        <v>15</v>
      </c>
      <c r="G188" s="4">
        <v>270000</v>
      </c>
      <c r="H188" s="5">
        <v>54550</v>
      </c>
      <c r="I188" s="5">
        <f t="shared" si="13"/>
        <v>14728500000</v>
      </c>
      <c r="J188" s="6" t="s">
        <v>23</v>
      </c>
      <c r="K188" s="6">
        <f t="shared" si="10"/>
        <v>36548.5</v>
      </c>
      <c r="L188" s="10">
        <f t="shared" si="11"/>
        <v>18001.5</v>
      </c>
      <c r="M188" s="10">
        <f t="shared" si="12"/>
        <v>4860405000</v>
      </c>
      <c r="N188" s="10"/>
      <c r="O188" s="26"/>
    </row>
    <row r="189" spans="1:21" x14ac:dyDescent="0.3">
      <c r="A189" s="3">
        <v>45657</v>
      </c>
      <c r="B189" s="22" t="s">
        <v>50</v>
      </c>
      <c r="C189" s="25">
        <v>2024</v>
      </c>
      <c r="D189" s="3" t="s">
        <v>9</v>
      </c>
      <c r="E189" t="s">
        <v>4</v>
      </c>
      <c r="F189" t="s">
        <v>16</v>
      </c>
      <c r="G189" s="4">
        <v>351000</v>
      </c>
      <c r="H189" s="5">
        <v>48800</v>
      </c>
      <c r="I189" s="5">
        <f t="shared" si="13"/>
        <v>17128800000</v>
      </c>
      <c r="J189" s="6" t="s">
        <v>23</v>
      </c>
      <c r="K189" s="6">
        <f t="shared" si="10"/>
        <v>30056.471440000001</v>
      </c>
      <c r="L189" s="10">
        <f t="shared" si="11"/>
        <v>18743.528559999999</v>
      </c>
      <c r="M189" s="10">
        <f t="shared" si="12"/>
        <v>6578978524.5599995</v>
      </c>
      <c r="N189" s="10"/>
      <c r="O189" s="26"/>
      <c r="R189" s="17" t="s">
        <v>34</v>
      </c>
    </row>
    <row r="190" spans="1:21" x14ac:dyDescent="0.3">
      <c r="A190" s="3">
        <v>45657</v>
      </c>
      <c r="B190" s="22" t="s">
        <v>50</v>
      </c>
      <c r="C190" s="25">
        <v>2024</v>
      </c>
      <c r="D190" s="3" t="s">
        <v>9</v>
      </c>
      <c r="E190" t="s">
        <v>5</v>
      </c>
      <c r="F190" t="s">
        <v>15</v>
      </c>
      <c r="G190" s="4">
        <v>450000</v>
      </c>
      <c r="H190" s="5">
        <v>12300</v>
      </c>
      <c r="I190" s="5">
        <f t="shared" si="13"/>
        <v>5535000000</v>
      </c>
      <c r="J190" s="6" t="s">
        <v>23</v>
      </c>
      <c r="K190" s="6">
        <f t="shared" si="10"/>
        <v>7995</v>
      </c>
      <c r="L190" s="10">
        <f t="shared" si="11"/>
        <v>4305</v>
      </c>
      <c r="M190" s="10">
        <f t="shared" si="12"/>
        <v>1937250000</v>
      </c>
      <c r="N190" s="10"/>
      <c r="O190" s="26"/>
      <c r="P190" s="7" t="s">
        <v>55</v>
      </c>
      <c r="Q190" s="6">
        <f>SUM(I147,I151,I155,I159,I163,I167,I171,I175,I179,I183,I187,I191)</f>
        <v>4101038750</v>
      </c>
      <c r="R190" s="15" t="s">
        <v>2</v>
      </c>
      <c r="S190" s="8">
        <f>SUMIF(E3:E194,R190,I3:I194)</f>
        <v>5809213750</v>
      </c>
    </row>
    <row r="191" spans="1:21" x14ac:dyDescent="0.3">
      <c r="A191" s="3">
        <v>45657</v>
      </c>
      <c r="B191" s="22" t="s">
        <v>50</v>
      </c>
      <c r="C191" s="25">
        <v>2024</v>
      </c>
      <c r="D191" s="3" t="s">
        <v>10</v>
      </c>
      <c r="E191" t="s">
        <v>2</v>
      </c>
      <c r="F191" t="s">
        <v>15</v>
      </c>
      <c r="G191" s="4">
        <v>6400</v>
      </c>
      <c r="H191" s="5">
        <v>56750</v>
      </c>
      <c r="I191" s="5">
        <f t="shared" si="13"/>
        <v>363200000</v>
      </c>
      <c r="J191" s="6" t="s">
        <v>23</v>
      </c>
      <c r="K191" s="6">
        <f t="shared" si="10"/>
        <v>38419.75</v>
      </c>
      <c r="L191" s="10">
        <f t="shared" si="11"/>
        <v>18330.25</v>
      </c>
      <c r="M191" s="10">
        <f t="shared" si="12"/>
        <v>117313600</v>
      </c>
      <c r="N191" s="10"/>
      <c r="O191" s="26"/>
      <c r="P191" s="7" t="s">
        <v>56</v>
      </c>
      <c r="Q191" s="6">
        <f>SUM(I149,I153,I157,I161,I165,I169,I173,I177,I181,I185,I189,I193)</f>
        <v>199606640000</v>
      </c>
      <c r="R191" s="15" t="s">
        <v>3</v>
      </c>
      <c r="S191" s="8">
        <f>SUMIF(E4:E195,R191,I4:I195)</f>
        <v>734000252500</v>
      </c>
    </row>
    <row r="192" spans="1:21" x14ac:dyDescent="0.3">
      <c r="A192" s="3">
        <v>45657</v>
      </c>
      <c r="B192" s="22" t="s">
        <v>50</v>
      </c>
      <c r="C192" s="25">
        <v>2024</v>
      </c>
      <c r="D192" s="3" t="s">
        <v>10</v>
      </c>
      <c r="E192" t="s">
        <v>3</v>
      </c>
      <c r="F192" t="s">
        <v>15</v>
      </c>
      <c r="G192" s="4">
        <v>320800</v>
      </c>
      <c r="H192" s="5">
        <v>54550</v>
      </c>
      <c r="I192" s="5">
        <f t="shared" si="13"/>
        <v>17499640000</v>
      </c>
      <c r="J192" s="6" t="s">
        <v>23</v>
      </c>
      <c r="K192" s="6">
        <f t="shared" si="10"/>
        <v>36548.5</v>
      </c>
      <c r="L192" s="10">
        <f t="shared" si="11"/>
        <v>18001.5</v>
      </c>
      <c r="M192" s="10">
        <f t="shared" si="12"/>
        <v>5774881200</v>
      </c>
      <c r="N192" s="10"/>
      <c r="O192" s="26"/>
      <c r="P192" s="7" t="s">
        <v>57</v>
      </c>
      <c r="Q192" s="6">
        <f>SUM(I148,I152,I156,I160,I164,I168,I172,I176,I180,I184,I188,I192)</f>
        <v>189599435000</v>
      </c>
      <c r="R192" s="15" t="s">
        <v>4</v>
      </c>
      <c r="S192" s="8">
        <f>SUMIF(E5:E196,R192,I5:I196)</f>
        <v>592861440000</v>
      </c>
    </row>
    <row r="193" spans="1:21" x14ac:dyDescent="0.3">
      <c r="A193" s="3">
        <v>45657</v>
      </c>
      <c r="B193" s="22" t="s">
        <v>50</v>
      </c>
      <c r="C193" s="25">
        <v>2024</v>
      </c>
      <c r="D193" s="3" t="s">
        <v>10</v>
      </c>
      <c r="E193" t="s">
        <v>4</v>
      </c>
      <c r="F193" t="s">
        <v>16</v>
      </c>
      <c r="G193" s="4">
        <v>335000</v>
      </c>
      <c r="H193" s="5">
        <v>48800</v>
      </c>
      <c r="I193" s="5">
        <f t="shared" si="13"/>
        <v>16348000000</v>
      </c>
      <c r="J193" s="6" t="s">
        <v>23</v>
      </c>
      <c r="K193" s="6">
        <f t="shared" si="10"/>
        <v>30056.471440000001</v>
      </c>
      <c r="L193" s="10">
        <f t="shared" si="11"/>
        <v>18743.528559999999</v>
      </c>
      <c r="M193" s="10">
        <f t="shared" si="12"/>
        <v>6279082067.5999994</v>
      </c>
      <c r="N193" s="10"/>
      <c r="O193" s="26"/>
      <c r="P193" s="7" t="s">
        <v>58</v>
      </c>
      <c r="Q193" s="6">
        <f>SUM(I150,I154,I158,I162,I166,I170,I174,I178,I182,I186,I190,I194)</f>
        <v>62401590000</v>
      </c>
      <c r="R193" s="15" t="s">
        <v>5</v>
      </c>
      <c r="S193" s="8">
        <f>SUMIF(E6:E197,R193,I6:I197)</f>
        <v>197177610000</v>
      </c>
    </row>
    <row r="194" spans="1:21" x14ac:dyDescent="0.3">
      <c r="A194" s="3">
        <v>45657</v>
      </c>
      <c r="B194" s="22" t="s">
        <v>50</v>
      </c>
      <c r="C194" s="25">
        <v>2024</v>
      </c>
      <c r="D194" s="3" t="s">
        <v>10</v>
      </c>
      <c r="E194" t="s">
        <v>5</v>
      </c>
      <c r="F194" t="s">
        <v>15</v>
      </c>
      <c r="G194" s="4">
        <v>450400</v>
      </c>
      <c r="H194" s="5">
        <v>12300</v>
      </c>
      <c r="I194" s="5">
        <f t="shared" si="13"/>
        <v>5539920000</v>
      </c>
      <c r="J194" s="6" t="s">
        <v>23</v>
      </c>
      <c r="K194" s="6">
        <f t="shared" si="10"/>
        <v>7995</v>
      </c>
      <c r="L194" s="10">
        <f t="shared" si="11"/>
        <v>4305</v>
      </c>
      <c r="M194" s="10">
        <f t="shared" si="12"/>
        <v>1938972000</v>
      </c>
      <c r="N194" s="35">
        <v>274830000000</v>
      </c>
      <c r="O194" s="26">
        <f>SUM(M3:M194)</f>
        <v>540820002635.97784</v>
      </c>
      <c r="P194" s="14" t="s">
        <v>31</v>
      </c>
      <c r="Q194" s="9">
        <f>SUM(I147:I194)</f>
        <v>455708703750</v>
      </c>
      <c r="R194" s="17" t="s">
        <v>32</v>
      </c>
      <c r="S194" s="9">
        <f>SUM(I3:I194)</f>
        <v>1529848516250</v>
      </c>
      <c r="U194" s="5"/>
    </row>
    <row r="195" spans="1:21" x14ac:dyDescent="0.3">
      <c r="A195" s="3">
        <v>45688</v>
      </c>
      <c r="B195" s="21" t="s">
        <v>39</v>
      </c>
      <c r="C195" s="25">
        <v>2025</v>
      </c>
      <c r="D195" s="3" t="s">
        <v>7</v>
      </c>
      <c r="E195" t="s">
        <v>2</v>
      </c>
      <c r="F195" t="s">
        <v>15</v>
      </c>
      <c r="G195" s="4">
        <v>17500</v>
      </c>
      <c r="H195" s="5">
        <v>56750</v>
      </c>
      <c r="I195" s="5">
        <f t="shared" ref="I195:I214" si="14">H195*G195</f>
        <v>993125000</v>
      </c>
      <c r="J195" s="6" t="s">
        <v>20</v>
      </c>
      <c r="K195" s="6">
        <f>IF(E195="Flour",H195*0.56963801,IF(E195="Pasta",H195*0.65,IF(E195="Sugar",H195*0.67,IF(E195="Rice",H195*0.675))))</f>
        <v>38306.25</v>
      </c>
      <c r="L195" s="10">
        <f>H195-K195</f>
        <v>18443.75</v>
      </c>
      <c r="M195" s="10">
        <f>(G195*L195)</f>
        <v>322765625</v>
      </c>
      <c r="N195" s="10"/>
      <c r="O195" s="26"/>
      <c r="U195" s="5"/>
    </row>
    <row r="196" spans="1:21" x14ac:dyDescent="0.3">
      <c r="A196" s="3">
        <v>45688</v>
      </c>
      <c r="B196" s="7" t="s">
        <v>39</v>
      </c>
      <c r="C196" s="25">
        <v>2025</v>
      </c>
      <c r="D196" s="3" t="s">
        <v>7</v>
      </c>
      <c r="E196" t="s">
        <v>3</v>
      </c>
      <c r="F196" t="s">
        <v>15</v>
      </c>
      <c r="G196" s="4">
        <v>360000</v>
      </c>
      <c r="H196" s="5">
        <v>54550</v>
      </c>
      <c r="I196" s="5">
        <f t="shared" si="14"/>
        <v>19638000000</v>
      </c>
      <c r="J196" s="6" t="s">
        <v>20</v>
      </c>
      <c r="K196" s="6">
        <f t="shared" ref="K196:K259" si="15">IF(E196="Flour",H196*0.56963801,IF(E196="Pasta",H196*0.65,IF(E196="Sugar",H196*0.67,IF(E196="Rice",H196*0.675))))</f>
        <v>36548.5</v>
      </c>
      <c r="L196" s="10">
        <f t="shared" ref="L196:L259" si="16">H196-K196</f>
        <v>18001.5</v>
      </c>
      <c r="M196" s="10">
        <f t="shared" ref="M196:M259" si="17">(G196*L196)</f>
        <v>6480540000</v>
      </c>
      <c r="N196" s="10"/>
      <c r="O196" s="26"/>
    </row>
    <row r="197" spans="1:21" x14ac:dyDescent="0.3">
      <c r="A197" s="3">
        <v>45688</v>
      </c>
      <c r="B197" s="21" t="s">
        <v>39</v>
      </c>
      <c r="C197" s="25">
        <v>2025</v>
      </c>
      <c r="D197" s="3" t="s">
        <v>7</v>
      </c>
      <c r="E197" t="s">
        <v>4</v>
      </c>
      <c r="F197" t="s">
        <v>16</v>
      </c>
      <c r="G197" s="4">
        <v>250000</v>
      </c>
      <c r="H197" s="5">
        <v>48800</v>
      </c>
      <c r="I197" s="5">
        <f t="shared" si="14"/>
        <v>12200000000</v>
      </c>
      <c r="J197" s="6" t="s">
        <v>20</v>
      </c>
      <c r="K197" s="6">
        <f t="shared" si="15"/>
        <v>27798.334888000001</v>
      </c>
      <c r="L197" s="10">
        <f t="shared" si="16"/>
        <v>21001.665111999999</v>
      </c>
      <c r="M197" s="10">
        <f t="shared" si="17"/>
        <v>5250416278</v>
      </c>
      <c r="N197" s="10"/>
      <c r="O197" s="26"/>
    </row>
    <row r="198" spans="1:21" x14ac:dyDescent="0.3">
      <c r="A198" s="3">
        <v>45688</v>
      </c>
      <c r="B198" s="21" t="s">
        <v>39</v>
      </c>
      <c r="C198" s="25">
        <v>2025</v>
      </c>
      <c r="D198" s="3" t="s">
        <v>7</v>
      </c>
      <c r="E198" t="s">
        <v>5</v>
      </c>
      <c r="F198" t="s">
        <v>15</v>
      </c>
      <c r="G198" s="4">
        <v>265000</v>
      </c>
      <c r="H198" s="5">
        <v>12300</v>
      </c>
      <c r="I198" s="5">
        <f t="shared" si="14"/>
        <v>3259500000</v>
      </c>
      <c r="J198" s="6" t="s">
        <v>20</v>
      </c>
      <c r="K198" s="6">
        <f t="shared" si="15"/>
        <v>7995</v>
      </c>
      <c r="L198" s="10">
        <f t="shared" si="16"/>
        <v>4305</v>
      </c>
      <c r="M198" s="10">
        <f t="shared" si="17"/>
        <v>1140825000</v>
      </c>
      <c r="N198" s="10"/>
      <c r="O198" s="26"/>
    </row>
    <row r="199" spans="1:21" x14ac:dyDescent="0.3">
      <c r="A199" s="3">
        <v>45688</v>
      </c>
      <c r="B199" s="21" t="s">
        <v>39</v>
      </c>
      <c r="C199" s="25">
        <v>2025</v>
      </c>
      <c r="D199" s="3" t="s">
        <v>8</v>
      </c>
      <c r="E199" t="s">
        <v>2</v>
      </c>
      <c r="F199" t="s">
        <v>15</v>
      </c>
      <c r="G199" s="4">
        <v>17800</v>
      </c>
      <c r="H199" s="5">
        <v>56750</v>
      </c>
      <c r="I199" s="5">
        <f t="shared" si="14"/>
        <v>1010150000</v>
      </c>
      <c r="J199" s="6" t="s">
        <v>20</v>
      </c>
      <c r="K199" s="6">
        <f t="shared" si="15"/>
        <v>38306.25</v>
      </c>
      <c r="L199" s="10">
        <f t="shared" si="16"/>
        <v>18443.75</v>
      </c>
      <c r="M199" s="10">
        <f t="shared" si="17"/>
        <v>328298750</v>
      </c>
      <c r="N199" s="10"/>
      <c r="O199" s="26"/>
    </row>
    <row r="200" spans="1:21" x14ac:dyDescent="0.3">
      <c r="A200" s="3">
        <v>45688</v>
      </c>
      <c r="B200" s="21" t="s">
        <v>39</v>
      </c>
      <c r="C200" s="25">
        <v>2025</v>
      </c>
      <c r="D200" s="3" t="s">
        <v>8</v>
      </c>
      <c r="E200" t="s">
        <v>3</v>
      </c>
      <c r="F200" t="s">
        <v>15</v>
      </c>
      <c r="G200" s="4">
        <v>273000</v>
      </c>
      <c r="H200" s="5">
        <v>54550</v>
      </c>
      <c r="I200" s="5">
        <f t="shared" si="14"/>
        <v>14892150000</v>
      </c>
      <c r="J200" s="6" t="s">
        <v>20</v>
      </c>
      <c r="K200" s="6">
        <f t="shared" si="15"/>
        <v>36548.5</v>
      </c>
      <c r="L200" s="10">
        <f t="shared" si="16"/>
        <v>18001.5</v>
      </c>
      <c r="M200" s="10">
        <f t="shared" si="17"/>
        <v>4914409500</v>
      </c>
      <c r="N200" s="10"/>
      <c r="O200" s="26"/>
    </row>
    <row r="201" spans="1:21" x14ac:dyDescent="0.3">
      <c r="A201" s="3">
        <v>45688</v>
      </c>
      <c r="B201" s="21" t="s">
        <v>39</v>
      </c>
      <c r="C201" s="25">
        <v>2025</v>
      </c>
      <c r="D201" s="3" t="s">
        <v>8</v>
      </c>
      <c r="E201" t="s">
        <v>4</v>
      </c>
      <c r="F201" t="s">
        <v>16</v>
      </c>
      <c r="G201" s="4">
        <v>320000</v>
      </c>
      <c r="H201" s="5">
        <v>48800</v>
      </c>
      <c r="I201" s="5">
        <f t="shared" si="14"/>
        <v>15616000000</v>
      </c>
      <c r="J201" s="6" t="s">
        <v>20</v>
      </c>
      <c r="K201" s="6">
        <f t="shared" si="15"/>
        <v>27798.334888000001</v>
      </c>
      <c r="L201" s="10">
        <f t="shared" si="16"/>
        <v>21001.665111999999</v>
      </c>
      <c r="M201" s="10">
        <f t="shared" si="17"/>
        <v>6720532835.8399992</v>
      </c>
      <c r="N201" s="10"/>
      <c r="O201" s="26"/>
    </row>
    <row r="202" spans="1:21" x14ac:dyDescent="0.3">
      <c r="A202" s="3">
        <v>45688</v>
      </c>
      <c r="B202" s="21" t="s">
        <v>39</v>
      </c>
      <c r="C202" s="25">
        <v>2025</v>
      </c>
      <c r="D202" s="3" t="s">
        <v>8</v>
      </c>
      <c r="E202" t="s">
        <v>5</v>
      </c>
      <c r="F202" t="s">
        <v>15</v>
      </c>
      <c r="G202" s="4">
        <v>259000</v>
      </c>
      <c r="H202" s="5">
        <v>12300</v>
      </c>
      <c r="I202" s="5">
        <f t="shared" si="14"/>
        <v>3185700000</v>
      </c>
      <c r="J202" s="6" t="s">
        <v>20</v>
      </c>
      <c r="K202" s="6">
        <f t="shared" si="15"/>
        <v>7995</v>
      </c>
      <c r="L202" s="10">
        <f t="shared" si="16"/>
        <v>4305</v>
      </c>
      <c r="M202" s="10">
        <f t="shared" si="17"/>
        <v>1114995000</v>
      </c>
      <c r="N202" s="10"/>
      <c r="O202" s="26"/>
    </row>
    <row r="203" spans="1:21" x14ac:dyDescent="0.3">
      <c r="A203" s="3">
        <v>45688</v>
      </c>
      <c r="B203" s="21" t="s">
        <v>39</v>
      </c>
      <c r="C203" s="25">
        <v>2025</v>
      </c>
      <c r="D203" s="3" t="s">
        <v>9</v>
      </c>
      <c r="E203" t="s">
        <v>2</v>
      </c>
      <c r="F203" t="s">
        <v>15</v>
      </c>
      <c r="G203" s="4">
        <v>19600</v>
      </c>
      <c r="H203" s="5">
        <v>56750</v>
      </c>
      <c r="I203" s="5">
        <f t="shared" si="14"/>
        <v>1112300000</v>
      </c>
      <c r="J203" s="6" t="s">
        <v>20</v>
      </c>
      <c r="K203" s="6">
        <f t="shared" si="15"/>
        <v>38306.25</v>
      </c>
      <c r="L203" s="10">
        <f t="shared" si="16"/>
        <v>18443.75</v>
      </c>
      <c r="M203" s="10">
        <f t="shared" si="17"/>
        <v>361497500</v>
      </c>
      <c r="N203" s="10"/>
      <c r="O203" s="26"/>
    </row>
    <row r="204" spans="1:21" x14ac:dyDescent="0.3">
      <c r="A204" s="3">
        <v>45688</v>
      </c>
      <c r="B204" s="21" t="s">
        <v>39</v>
      </c>
      <c r="C204" s="25">
        <v>2025</v>
      </c>
      <c r="D204" s="3" t="s">
        <v>9</v>
      </c>
      <c r="E204" t="s">
        <v>3</v>
      </c>
      <c r="F204" t="s">
        <v>15</v>
      </c>
      <c r="G204" s="4">
        <v>294000</v>
      </c>
      <c r="H204" s="5">
        <v>54550</v>
      </c>
      <c r="I204" s="5">
        <f t="shared" si="14"/>
        <v>16037700000</v>
      </c>
      <c r="J204" s="6" t="s">
        <v>20</v>
      </c>
      <c r="K204" s="6">
        <f t="shared" si="15"/>
        <v>36548.5</v>
      </c>
      <c r="L204" s="10">
        <f t="shared" si="16"/>
        <v>18001.5</v>
      </c>
      <c r="M204" s="10">
        <f t="shared" si="17"/>
        <v>5292441000</v>
      </c>
      <c r="N204" s="10"/>
      <c r="O204" s="26"/>
    </row>
    <row r="205" spans="1:21" x14ac:dyDescent="0.3">
      <c r="A205" s="3">
        <v>45688</v>
      </c>
      <c r="B205" s="21" t="s">
        <v>39</v>
      </c>
      <c r="C205" s="25">
        <v>2025</v>
      </c>
      <c r="D205" s="3" t="s">
        <v>9</v>
      </c>
      <c r="E205" t="s">
        <v>4</v>
      </c>
      <c r="F205" t="s">
        <v>16</v>
      </c>
      <c r="G205" s="4">
        <v>330000</v>
      </c>
      <c r="H205" s="5">
        <v>48800</v>
      </c>
      <c r="I205" s="5">
        <f t="shared" si="14"/>
        <v>16104000000</v>
      </c>
      <c r="J205" s="6" t="s">
        <v>20</v>
      </c>
      <c r="K205" s="6">
        <f t="shared" si="15"/>
        <v>27798.334888000001</v>
      </c>
      <c r="L205" s="10">
        <f t="shared" si="16"/>
        <v>21001.665111999999</v>
      </c>
      <c r="M205" s="10">
        <f t="shared" si="17"/>
        <v>6930549486.96</v>
      </c>
      <c r="N205" s="10"/>
      <c r="O205" s="26"/>
    </row>
    <row r="206" spans="1:21" x14ac:dyDescent="0.3">
      <c r="A206" s="3">
        <v>45688</v>
      </c>
      <c r="B206" s="21" t="s">
        <v>39</v>
      </c>
      <c r="C206" s="25">
        <v>2025</v>
      </c>
      <c r="D206" s="3" t="s">
        <v>9</v>
      </c>
      <c r="E206" t="s">
        <v>5</v>
      </c>
      <c r="F206" t="s">
        <v>15</v>
      </c>
      <c r="G206" s="4">
        <v>322000</v>
      </c>
      <c r="H206" s="5">
        <v>12300</v>
      </c>
      <c r="I206" s="5">
        <f t="shared" si="14"/>
        <v>3960600000</v>
      </c>
      <c r="J206" s="6" t="s">
        <v>20</v>
      </c>
      <c r="K206" s="6">
        <f t="shared" si="15"/>
        <v>7995</v>
      </c>
      <c r="L206" s="10">
        <f t="shared" si="16"/>
        <v>4305</v>
      </c>
      <c r="M206" s="10">
        <f t="shared" si="17"/>
        <v>1386210000</v>
      </c>
      <c r="N206" s="10"/>
      <c r="O206" s="26"/>
    </row>
    <row r="207" spans="1:21" x14ac:dyDescent="0.3">
      <c r="A207" s="3">
        <v>45688</v>
      </c>
      <c r="B207" s="21" t="s">
        <v>39</v>
      </c>
      <c r="C207" s="25">
        <v>2025</v>
      </c>
      <c r="D207" s="3" t="s">
        <v>10</v>
      </c>
      <c r="E207" t="s">
        <v>2</v>
      </c>
      <c r="F207" t="s">
        <v>15</v>
      </c>
      <c r="G207" s="4">
        <v>20700</v>
      </c>
      <c r="H207" s="5">
        <v>56750</v>
      </c>
      <c r="I207" s="5">
        <f t="shared" si="14"/>
        <v>1174725000</v>
      </c>
      <c r="J207" s="6" t="s">
        <v>20</v>
      </c>
      <c r="K207" s="6">
        <f t="shared" si="15"/>
        <v>38306.25</v>
      </c>
      <c r="L207" s="10">
        <f t="shared" si="16"/>
        <v>18443.75</v>
      </c>
      <c r="M207" s="10">
        <f t="shared" si="17"/>
        <v>381785625</v>
      </c>
      <c r="N207" s="10"/>
      <c r="O207" s="26"/>
    </row>
    <row r="208" spans="1:21" x14ac:dyDescent="0.3">
      <c r="A208" s="3">
        <v>45688</v>
      </c>
      <c r="B208" s="21" t="s">
        <v>39</v>
      </c>
      <c r="C208" s="25">
        <v>2025</v>
      </c>
      <c r="D208" s="3" t="s">
        <v>10</v>
      </c>
      <c r="E208" t="s">
        <v>3</v>
      </c>
      <c r="F208" t="s">
        <v>15</v>
      </c>
      <c r="G208" s="4">
        <v>358000</v>
      </c>
      <c r="H208" s="5">
        <v>54550</v>
      </c>
      <c r="I208" s="5">
        <f t="shared" si="14"/>
        <v>19528900000</v>
      </c>
      <c r="J208" s="6" t="s">
        <v>20</v>
      </c>
      <c r="K208" s="6">
        <f t="shared" si="15"/>
        <v>36548.5</v>
      </c>
      <c r="L208" s="10">
        <f t="shared" si="16"/>
        <v>18001.5</v>
      </c>
      <c r="M208" s="10">
        <f t="shared" si="17"/>
        <v>6444537000</v>
      </c>
      <c r="N208" s="10"/>
      <c r="O208" s="26"/>
    </row>
    <row r="209" spans="1:21" x14ac:dyDescent="0.3">
      <c r="A209" s="3">
        <v>45688</v>
      </c>
      <c r="B209" s="21" t="s">
        <v>39</v>
      </c>
      <c r="C209" s="25">
        <v>2025</v>
      </c>
      <c r="D209" s="3" t="s">
        <v>10</v>
      </c>
      <c r="E209" t="s">
        <v>4</v>
      </c>
      <c r="F209" t="s">
        <v>16</v>
      </c>
      <c r="G209" s="4">
        <v>270000</v>
      </c>
      <c r="H209" s="5">
        <v>48800</v>
      </c>
      <c r="I209" s="5">
        <f t="shared" si="14"/>
        <v>13176000000</v>
      </c>
      <c r="J209" s="6" t="s">
        <v>20</v>
      </c>
      <c r="K209" s="6">
        <f t="shared" si="15"/>
        <v>27798.334888000001</v>
      </c>
      <c r="L209" s="10">
        <f t="shared" si="16"/>
        <v>21001.665111999999</v>
      </c>
      <c r="M209" s="10">
        <f t="shared" si="17"/>
        <v>5670449580.2399998</v>
      </c>
      <c r="N209" s="10"/>
      <c r="O209" s="26"/>
    </row>
    <row r="210" spans="1:21" x14ac:dyDescent="0.3">
      <c r="A210" s="3">
        <v>45688</v>
      </c>
      <c r="B210" s="21" t="s">
        <v>39</v>
      </c>
      <c r="C210" s="25">
        <v>2025</v>
      </c>
      <c r="D210" s="3" t="s">
        <v>10</v>
      </c>
      <c r="E210" t="s">
        <v>5</v>
      </c>
      <c r="F210" t="s">
        <v>15</v>
      </c>
      <c r="G210" s="4">
        <v>255000</v>
      </c>
      <c r="H210" s="5">
        <v>12300</v>
      </c>
      <c r="I210" s="5">
        <f t="shared" si="14"/>
        <v>3136500000</v>
      </c>
      <c r="J210" s="6" t="s">
        <v>20</v>
      </c>
      <c r="K210" s="6">
        <f t="shared" si="15"/>
        <v>7995</v>
      </c>
      <c r="L210" s="10">
        <f t="shared" si="16"/>
        <v>4305</v>
      </c>
      <c r="M210" s="10">
        <f t="shared" si="17"/>
        <v>1097775000</v>
      </c>
      <c r="N210" s="10"/>
      <c r="O210" s="26"/>
      <c r="U210" s="5"/>
    </row>
    <row r="211" spans="1:21" x14ac:dyDescent="0.3">
      <c r="A211" s="3">
        <v>45716</v>
      </c>
      <c r="B211" s="22" t="s">
        <v>40</v>
      </c>
      <c r="C211" s="25">
        <v>2025</v>
      </c>
      <c r="D211" s="3" t="s">
        <v>7</v>
      </c>
      <c r="E211" t="s">
        <v>2</v>
      </c>
      <c r="F211" t="s">
        <v>15</v>
      </c>
      <c r="G211" s="4">
        <v>18400</v>
      </c>
      <c r="H211" s="5">
        <v>56750</v>
      </c>
      <c r="I211" s="5">
        <f t="shared" si="14"/>
        <v>1044200000</v>
      </c>
      <c r="J211" s="6" t="s">
        <v>20</v>
      </c>
      <c r="K211" s="6">
        <f t="shared" si="15"/>
        <v>38306.25</v>
      </c>
      <c r="L211" s="10">
        <f t="shared" si="16"/>
        <v>18443.75</v>
      </c>
      <c r="M211" s="10">
        <f t="shared" si="17"/>
        <v>339365000</v>
      </c>
      <c r="N211" s="10"/>
      <c r="O211" s="26"/>
    </row>
    <row r="212" spans="1:21" x14ac:dyDescent="0.3">
      <c r="A212" s="3">
        <v>45716</v>
      </c>
      <c r="B212" s="22" t="s">
        <v>40</v>
      </c>
      <c r="C212" s="25">
        <v>2025</v>
      </c>
      <c r="D212" s="3" t="s">
        <v>7</v>
      </c>
      <c r="E212" t="s">
        <v>3</v>
      </c>
      <c r="F212" t="s">
        <v>15</v>
      </c>
      <c r="G212" s="4">
        <v>367000</v>
      </c>
      <c r="H212" s="5">
        <v>54550</v>
      </c>
      <c r="I212" s="5">
        <f t="shared" si="14"/>
        <v>20019850000</v>
      </c>
      <c r="J212" s="6" t="s">
        <v>20</v>
      </c>
      <c r="K212" s="6">
        <f t="shared" si="15"/>
        <v>36548.5</v>
      </c>
      <c r="L212" s="10">
        <f t="shared" si="16"/>
        <v>18001.5</v>
      </c>
      <c r="M212" s="10">
        <f t="shared" si="17"/>
        <v>6606550500</v>
      </c>
      <c r="N212" s="10"/>
      <c r="O212" s="26"/>
    </row>
    <row r="213" spans="1:21" x14ac:dyDescent="0.3">
      <c r="A213" s="3">
        <v>45716</v>
      </c>
      <c r="B213" s="22" t="s">
        <v>40</v>
      </c>
      <c r="C213" s="25">
        <v>2025</v>
      </c>
      <c r="D213" s="3" t="s">
        <v>7</v>
      </c>
      <c r="E213" t="s">
        <v>4</v>
      </c>
      <c r="F213" t="s">
        <v>16</v>
      </c>
      <c r="G213" s="4">
        <v>269000</v>
      </c>
      <c r="H213" s="5">
        <v>48800</v>
      </c>
      <c r="I213" s="5">
        <f t="shared" si="14"/>
        <v>13127200000</v>
      </c>
      <c r="J213" s="6" t="s">
        <v>20</v>
      </c>
      <c r="K213" s="6">
        <f t="shared" si="15"/>
        <v>27798.334888000001</v>
      </c>
      <c r="L213" s="10">
        <f t="shared" si="16"/>
        <v>21001.665111999999</v>
      </c>
      <c r="M213" s="10">
        <f t="shared" si="17"/>
        <v>5649447915.1279993</v>
      </c>
      <c r="N213" s="10"/>
      <c r="O213" s="26"/>
    </row>
    <row r="214" spans="1:21" x14ac:dyDescent="0.3">
      <c r="A214" s="3">
        <v>45716</v>
      </c>
      <c r="B214" s="22" t="s">
        <v>40</v>
      </c>
      <c r="C214" s="25">
        <v>2025</v>
      </c>
      <c r="D214" s="3" t="s">
        <v>7</v>
      </c>
      <c r="E214" t="s">
        <v>5</v>
      </c>
      <c r="F214" t="s">
        <v>15</v>
      </c>
      <c r="G214" s="4">
        <v>260000</v>
      </c>
      <c r="H214" s="5">
        <v>12300</v>
      </c>
      <c r="I214" s="5">
        <f t="shared" si="14"/>
        <v>3198000000</v>
      </c>
      <c r="J214" s="6" t="s">
        <v>20</v>
      </c>
      <c r="K214" s="6">
        <f t="shared" si="15"/>
        <v>7995</v>
      </c>
      <c r="L214" s="10">
        <f t="shared" si="16"/>
        <v>4305</v>
      </c>
      <c r="M214" s="10">
        <f t="shared" si="17"/>
        <v>1119300000</v>
      </c>
      <c r="N214" s="10"/>
      <c r="O214" s="26"/>
    </row>
    <row r="215" spans="1:21" x14ac:dyDescent="0.3">
      <c r="A215" s="3">
        <v>45716</v>
      </c>
      <c r="B215" s="22" t="s">
        <v>40</v>
      </c>
      <c r="C215" s="25">
        <v>2025</v>
      </c>
      <c r="D215" s="3" t="s">
        <v>8</v>
      </c>
      <c r="E215" t="s">
        <v>2</v>
      </c>
      <c r="F215" t="s">
        <v>15</v>
      </c>
      <c r="G215" s="4">
        <v>17900</v>
      </c>
      <c r="H215" s="5">
        <v>56750</v>
      </c>
      <c r="I215" s="5">
        <f t="shared" ref="I215:I259" si="18">H215*G215</f>
        <v>1015825000</v>
      </c>
      <c r="J215" s="6" t="s">
        <v>20</v>
      </c>
      <c r="K215" s="6">
        <f t="shared" si="15"/>
        <v>38306.25</v>
      </c>
      <c r="L215" s="10">
        <f t="shared" si="16"/>
        <v>18443.75</v>
      </c>
      <c r="M215" s="10">
        <f t="shared" si="17"/>
        <v>330143125</v>
      </c>
      <c r="N215" s="10"/>
      <c r="O215" s="26"/>
    </row>
    <row r="216" spans="1:21" x14ac:dyDescent="0.3">
      <c r="A216" s="3">
        <v>45716</v>
      </c>
      <c r="B216" s="22" t="s">
        <v>40</v>
      </c>
      <c r="C216" s="25">
        <v>2025</v>
      </c>
      <c r="D216" s="3" t="s">
        <v>8</v>
      </c>
      <c r="E216" t="s">
        <v>3</v>
      </c>
      <c r="F216" t="s">
        <v>15</v>
      </c>
      <c r="G216" s="4">
        <v>278000</v>
      </c>
      <c r="H216" s="5">
        <v>54550</v>
      </c>
      <c r="I216" s="5">
        <f t="shared" si="18"/>
        <v>15164900000</v>
      </c>
      <c r="J216" s="6" t="s">
        <v>20</v>
      </c>
      <c r="K216" s="6">
        <f t="shared" si="15"/>
        <v>36548.5</v>
      </c>
      <c r="L216" s="10">
        <f t="shared" si="16"/>
        <v>18001.5</v>
      </c>
      <c r="M216" s="10">
        <f t="shared" si="17"/>
        <v>5004417000</v>
      </c>
      <c r="N216" s="10"/>
      <c r="O216" s="26"/>
    </row>
    <row r="217" spans="1:21" x14ac:dyDescent="0.3">
      <c r="A217" s="3">
        <v>45716</v>
      </c>
      <c r="B217" s="22" t="s">
        <v>40</v>
      </c>
      <c r="C217" s="25">
        <v>2025</v>
      </c>
      <c r="D217" s="3" t="s">
        <v>8</v>
      </c>
      <c r="E217" t="s">
        <v>4</v>
      </c>
      <c r="F217" t="s">
        <v>16</v>
      </c>
      <c r="G217" s="4">
        <v>335000</v>
      </c>
      <c r="H217" s="5">
        <v>48800</v>
      </c>
      <c r="I217" s="5">
        <f t="shared" si="18"/>
        <v>16348000000</v>
      </c>
      <c r="J217" s="6" t="s">
        <v>20</v>
      </c>
      <c r="K217" s="6">
        <f t="shared" si="15"/>
        <v>27798.334888000001</v>
      </c>
      <c r="L217" s="10">
        <f t="shared" si="16"/>
        <v>21001.665111999999</v>
      </c>
      <c r="M217" s="10">
        <f t="shared" si="17"/>
        <v>7035557812.5199995</v>
      </c>
      <c r="N217" s="10"/>
      <c r="O217" s="26"/>
    </row>
    <row r="218" spans="1:21" x14ac:dyDescent="0.3">
      <c r="A218" s="3">
        <v>45716</v>
      </c>
      <c r="B218" s="22" t="s">
        <v>40</v>
      </c>
      <c r="C218" s="25">
        <v>2025</v>
      </c>
      <c r="D218" s="3" t="s">
        <v>8</v>
      </c>
      <c r="E218" t="s">
        <v>5</v>
      </c>
      <c r="F218" t="s">
        <v>15</v>
      </c>
      <c r="G218" s="4">
        <v>262000</v>
      </c>
      <c r="H218" s="5">
        <v>12300</v>
      </c>
      <c r="I218" s="5">
        <f t="shared" si="18"/>
        <v>3222600000</v>
      </c>
      <c r="J218" s="6" t="s">
        <v>20</v>
      </c>
      <c r="K218" s="6">
        <f t="shared" si="15"/>
        <v>7995</v>
      </c>
      <c r="L218" s="10">
        <f t="shared" si="16"/>
        <v>4305</v>
      </c>
      <c r="M218" s="10">
        <f t="shared" si="17"/>
        <v>1127910000</v>
      </c>
      <c r="N218" s="10"/>
      <c r="O218" s="26"/>
    </row>
    <row r="219" spans="1:21" x14ac:dyDescent="0.3">
      <c r="A219" s="3">
        <v>45716</v>
      </c>
      <c r="B219" s="22" t="s">
        <v>40</v>
      </c>
      <c r="C219" s="25">
        <v>2025</v>
      </c>
      <c r="D219" s="3" t="s">
        <v>9</v>
      </c>
      <c r="E219" t="s">
        <v>2</v>
      </c>
      <c r="F219" t="s">
        <v>15</v>
      </c>
      <c r="G219" s="4">
        <v>19420</v>
      </c>
      <c r="H219" s="5">
        <v>56750</v>
      </c>
      <c r="I219" s="5">
        <f t="shared" si="18"/>
        <v>1102085000</v>
      </c>
      <c r="J219" s="6" t="s">
        <v>20</v>
      </c>
      <c r="K219" s="6">
        <f t="shared" si="15"/>
        <v>38306.25</v>
      </c>
      <c r="L219" s="10">
        <f t="shared" si="16"/>
        <v>18443.75</v>
      </c>
      <c r="M219" s="10">
        <f t="shared" si="17"/>
        <v>358177625</v>
      </c>
      <c r="N219" s="10"/>
      <c r="O219" s="26"/>
    </row>
    <row r="220" spans="1:21" x14ac:dyDescent="0.3">
      <c r="A220" s="3">
        <v>45716</v>
      </c>
      <c r="B220" s="22" t="s">
        <v>40</v>
      </c>
      <c r="C220" s="25">
        <v>2025</v>
      </c>
      <c r="D220" s="3" t="s">
        <v>9</v>
      </c>
      <c r="E220" t="s">
        <v>3</v>
      </c>
      <c r="F220" t="s">
        <v>15</v>
      </c>
      <c r="G220" s="4">
        <v>296000</v>
      </c>
      <c r="H220" s="5">
        <v>54550</v>
      </c>
      <c r="I220" s="5">
        <f t="shared" si="18"/>
        <v>16146800000</v>
      </c>
      <c r="J220" s="6" t="s">
        <v>20</v>
      </c>
      <c r="K220" s="6">
        <f t="shared" si="15"/>
        <v>36548.5</v>
      </c>
      <c r="L220" s="10">
        <f t="shared" si="16"/>
        <v>18001.5</v>
      </c>
      <c r="M220" s="10">
        <f t="shared" si="17"/>
        <v>5328444000</v>
      </c>
      <c r="N220" s="10"/>
      <c r="O220" s="26"/>
    </row>
    <row r="221" spans="1:21" x14ac:dyDescent="0.3">
      <c r="A221" s="3">
        <v>45716</v>
      </c>
      <c r="B221" s="22" t="s">
        <v>40</v>
      </c>
      <c r="C221" s="25">
        <v>2025</v>
      </c>
      <c r="D221" s="3" t="s">
        <v>9</v>
      </c>
      <c r="E221" t="s">
        <v>4</v>
      </c>
      <c r="F221" t="s">
        <v>16</v>
      </c>
      <c r="G221" s="4">
        <v>335700</v>
      </c>
      <c r="H221" s="5">
        <v>48800</v>
      </c>
      <c r="I221" s="5">
        <f t="shared" si="18"/>
        <v>16382160000</v>
      </c>
      <c r="J221" s="6" t="s">
        <v>20</v>
      </c>
      <c r="K221" s="6">
        <f t="shared" si="15"/>
        <v>27798.334888000001</v>
      </c>
      <c r="L221" s="10">
        <f t="shared" si="16"/>
        <v>21001.665111999999</v>
      </c>
      <c r="M221" s="10">
        <f t="shared" si="17"/>
        <v>7050258978.0983992</v>
      </c>
      <c r="N221" s="10"/>
      <c r="O221" s="26"/>
    </row>
    <row r="222" spans="1:21" x14ac:dyDescent="0.3">
      <c r="A222" s="3">
        <v>45716</v>
      </c>
      <c r="B222" s="22" t="s">
        <v>40</v>
      </c>
      <c r="C222" s="25">
        <v>2025</v>
      </c>
      <c r="D222" s="3" t="s">
        <v>9</v>
      </c>
      <c r="E222" t="s">
        <v>5</v>
      </c>
      <c r="F222" t="s">
        <v>15</v>
      </c>
      <c r="G222" s="4">
        <v>331000</v>
      </c>
      <c r="H222" s="5">
        <v>12300</v>
      </c>
      <c r="I222" s="5">
        <f t="shared" si="18"/>
        <v>4071300000</v>
      </c>
      <c r="J222" s="6" t="s">
        <v>20</v>
      </c>
      <c r="K222" s="6">
        <f t="shared" si="15"/>
        <v>7995</v>
      </c>
      <c r="L222" s="10">
        <f t="shared" si="16"/>
        <v>4305</v>
      </c>
      <c r="M222" s="10">
        <f t="shared" si="17"/>
        <v>1424955000</v>
      </c>
      <c r="N222" s="10"/>
      <c r="O222" s="26"/>
    </row>
    <row r="223" spans="1:21" x14ac:dyDescent="0.3">
      <c r="A223" s="3">
        <v>45716</v>
      </c>
      <c r="B223" s="22" t="s">
        <v>40</v>
      </c>
      <c r="C223" s="25">
        <v>2025</v>
      </c>
      <c r="D223" s="3" t="s">
        <v>10</v>
      </c>
      <c r="E223" t="s">
        <v>2</v>
      </c>
      <c r="F223" t="s">
        <v>15</v>
      </c>
      <c r="G223" s="4">
        <v>22400</v>
      </c>
      <c r="H223" s="5">
        <v>56750</v>
      </c>
      <c r="I223" s="5">
        <f t="shared" si="18"/>
        <v>1271200000</v>
      </c>
      <c r="J223" s="6" t="s">
        <v>20</v>
      </c>
      <c r="K223" s="6">
        <f t="shared" si="15"/>
        <v>38306.25</v>
      </c>
      <c r="L223" s="10">
        <f t="shared" si="16"/>
        <v>18443.75</v>
      </c>
      <c r="M223" s="10">
        <f t="shared" si="17"/>
        <v>413140000</v>
      </c>
      <c r="N223" s="10"/>
      <c r="O223" s="26"/>
    </row>
    <row r="224" spans="1:21" x14ac:dyDescent="0.3">
      <c r="A224" s="3">
        <v>45716</v>
      </c>
      <c r="B224" s="22" t="s">
        <v>40</v>
      </c>
      <c r="C224" s="25">
        <v>2025</v>
      </c>
      <c r="D224" s="3" t="s">
        <v>10</v>
      </c>
      <c r="E224" t="s">
        <v>3</v>
      </c>
      <c r="F224" t="s">
        <v>15</v>
      </c>
      <c r="G224" s="4">
        <v>364000</v>
      </c>
      <c r="H224" s="5">
        <v>54550</v>
      </c>
      <c r="I224" s="5">
        <f t="shared" si="18"/>
        <v>19856200000</v>
      </c>
      <c r="J224" s="6" t="s">
        <v>20</v>
      </c>
      <c r="K224" s="6">
        <f t="shared" si="15"/>
        <v>36548.5</v>
      </c>
      <c r="L224" s="10">
        <f t="shared" si="16"/>
        <v>18001.5</v>
      </c>
      <c r="M224" s="10">
        <f t="shared" si="17"/>
        <v>6552546000</v>
      </c>
      <c r="N224" s="10"/>
      <c r="O224" s="26"/>
    </row>
    <row r="225" spans="1:17" x14ac:dyDescent="0.3">
      <c r="A225" s="3">
        <v>45716</v>
      </c>
      <c r="B225" s="22" t="s">
        <v>40</v>
      </c>
      <c r="C225" s="25">
        <v>2025</v>
      </c>
      <c r="D225" s="3" t="s">
        <v>10</v>
      </c>
      <c r="E225" t="s">
        <v>4</v>
      </c>
      <c r="F225" t="s">
        <v>16</v>
      </c>
      <c r="G225" s="4">
        <v>270000</v>
      </c>
      <c r="H225" s="5">
        <v>48800</v>
      </c>
      <c r="I225" s="5">
        <f t="shared" si="18"/>
        <v>13176000000</v>
      </c>
      <c r="J225" s="6" t="s">
        <v>20</v>
      </c>
      <c r="K225" s="6">
        <f t="shared" si="15"/>
        <v>27798.334888000001</v>
      </c>
      <c r="L225" s="10">
        <f t="shared" si="16"/>
        <v>21001.665111999999</v>
      </c>
      <c r="M225" s="10">
        <f t="shared" si="17"/>
        <v>5670449580.2399998</v>
      </c>
      <c r="N225" s="10"/>
      <c r="O225" s="26"/>
    </row>
    <row r="226" spans="1:17" x14ac:dyDescent="0.3">
      <c r="A226" s="3">
        <v>45716</v>
      </c>
      <c r="B226" s="22" t="s">
        <v>40</v>
      </c>
      <c r="C226" s="25">
        <v>2025</v>
      </c>
      <c r="D226" s="3" t="s">
        <v>10</v>
      </c>
      <c r="E226" t="s">
        <v>5</v>
      </c>
      <c r="F226" t="s">
        <v>15</v>
      </c>
      <c r="G226" s="4">
        <v>264000</v>
      </c>
      <c r="H226" s="5">
        <v>12300</v>
      </c>
      <c r="I226" s="5">
        <f t="shared" si="18"/>
        <v>3247200000</v>
      </c>
      <c r="J226" s="6" t="s">
        <v>20</v>
      </c>
      <c r="K226" s="6">
        <f t="shared" si="15"/>
        <v>7995</v>
      </c>
      <c r="L226" s="10">
        <f t="shared" si="16"/>
        <v>4305</v>
      </c>
      <c r="M226" s="10">
        <f t="shared" si="17"/>
        <v>1136520000</v>
      </c>
      <c r="N226" s="10"/>
      <c r="O226" s="26"/>
    </row>
    <row r="227" spans="1:17" x14ac:dyDescent="0.3">
      <c r="A227" s="3">
        <v>45747</v>
      </c>
      <c r="B227" s="22" t="s">
        <v>41</v>
      </c>
      <c r="C227" s="25">
        <v>2025</v>
      </c>
      <c r="D227" s="3" t="s">
        <v>7</v>
      </c>
      <c r="E227" t="s">
        <v>2</v>
      </c>
      <c r="F227" t="s">
        <v>15</v>
      </c>
      <c r="G227" s="4">
        <v>17900</v>
      </c>
      <c r="H227" s="5">
        <v>56750</v>
      </c>
      <c r="I227" s="5">
        <f t="shared" si="18"/>
        <v>1015825000</v>
      </c>
      <c r="J227" s="6" t="s">
        <v>20</v>
      </c>
      <c r="K227" s="6">
        <f t="shared" si="15"/>
        <v>38306.25</v>
      </c>
      <c r="L227" s="10">
        <f t="shared" si="16"/>
        <v>18443.75</v>
      </c>
      <c r="M227" s="10">
        <f t="shared" si="17"/>
        <v>330143125</v>
      </c>
      <c r="N227" s="10"/>
      <c r="O227" s="26"/>
    </row>
    <row r="228" spans="1:17" x14ac:dyDescent="0.3">
      <c r="A228" s="3">
        <v>45747</v>
      </c>
      <c r="B228" s="22" t="s">
        <v>41</v>
      </c>
      <c r="C228" s="25">
        <v>2025</v>
      </c>
      <c r="D228" s="3" t="s">
        <v>7</v>
      </c>
      <c r="E228" t="s">
        <v>3</v>
      </c>
      <c r="F228" t="s">
        <v>15</v>
      </c>
      <c r="G228" s="4">
        <v>364950</v>
      </c>
      <c r="H228" s="5">
        <v>54550</v>
      </c>
      <c r="I228" s="5">
        <f t="shared" si="18"/>
        <v>19908022500</v>
      </c>
      <c r="J228" s="6" t="s">
        <v>20</v>
      </c>
      <c r="K228" s="6">
        <f t="shared" si="15"/>
        <v>36548.5</v>
      </c>
      <c r="L228" s="10">
        <f t="shared" si="16"/>
        <v>18001.5</v>
      </c>
      <c r="M228" s="10">
        <f t="shared" si="17"/>
        <v>6569647425</v>
      </c>
      <c r="N228" s="10"/>
      <c r="O228" s="26"/>
    </row>
    <row r="229" spans="1:17" x14ac:dyDescent="0.3">
      <c r="A229" s="3">
        <v>45747</v>
      </c>
      <c r="B229" s="22" t="s">
        <v>41</v>
      </c>
      <c r="C229" s="25">
        <v>2025</v>
      </c>
      <c r="D229" s="3" t="s">
        <v>7</v>
      </c>
      <c r="E229" t="s">
        <v>4</v>
      </c>
      <c r="F229" t="s">
        <v>16</v>
      </c>
      <c r="G229" s="4">
        <v>285000</v>
      </c>
      <c r="H229" s="5">
        <v>48800</v>
      </c>
      <c r="I229" s="5">
        <f t="shared" si="18"/>
        <v>13908000000</v>
      </c>
      <c r="J229" s="6" t="s">
        <v>20</v>
      </c>
      <c r="K229" s="6">
        <f t="shared" si="15"/>
        <v>27798.334888000001</v>
      </c>
      <c r="L229" s="10">
        <f t="shared" si="16"/>
        <v>21001.665111999999</v>
      </c>
      <c r="M229" s="10">
        <f t="shared" si="17"/>
        <v>5985474556.9200001</v>
      </c>
      <c r="N229" s="10"/>
      <c r="O229" s="26"/>
      <c r="P229" s="7" t="s">
        <v>3</v>
      </c>
      <c r="Q229" s="6">
        <f>SUM(I196,I200,I204,I208,I212,I216,I220,I224,I228,I232,I236,I240)</f>
        <v>211307607500</v>
      </c>
    </row>
    <row r="230" spans="1:17" x14ac:dyDescent="0.3">
      <c r="A230" s="3">
        <v>45747</v>
      </c>
      <c r="B230" s="22" t="s">
        <v>41</v>
      </c>
      <c r="C230" s="25">
        <v>2025</v>
      </c>
      <c r="D230" s="3" t="s">
        <v>7</v>
      </c>
      <c r="E230" t="s">
        <v>5</v>
      </c>
      <c r="F230" t="s">
        <v>15</v>
      </c>
      <c r="G230" s="4">
        <v>263000</v>
      </c>
      <c r="H230" s="5">
        <v>12300</v>
      </c>
      <c r="I230" s="5">
        <f t="shared" si="18"/>
        <v>3234900000</v>
      </c>
      <c r="J230" s="6" t="s">
        <v>20</v>
      </c>
      <c r="K230" s="6">
        <f t="shared" si="15"/>
        <v>7995</v>
      </c>
      <c r="L230" s="10">
        <f t="shared" si="16"/>
        <v>4305</v>
      </c>
      <c r="M230" s="10">
        <f t="shared" si="17"/>
        <v>1132215000</v>
      </c>
      <c r="N230" s="10"/>
      <c r="O230" s="26"/>
      <c r="P230" s="7" t="s">
        <v>36</v>
      </c>
      <c r="Q230" s="6">
        <f>SUM(I195,I199,I203,I207,I211,I215,I219,I223,I227,I231,I235,I239)</f>
        <v>12991210000</v>
      </c>
    </row>
    <row r="231" spans="1:17" x14ac:dyDescent="0.3">
      <c r="A231" s="3">
        <v>45747</v>
      </c>
      <c r="B231" s="22" t="s">
        <v>41</v>
      </c>
      <c r="C231" s="25">
        <v>2025</v>
      </c>
      <c r="D231" s="3" t="s">
        <v>8</v>
      </c>
      <c r="E231" t="s">
        <v>2</v>
      </c>
      <c r="F231" t="s">
        <v>15</v>
      </c>
      <c r="G231" s="4">
        <v>17000</v>
      </c>
      <c r="H231" s="5">
        <v>56750</v>
      </c>
      <c r="I231" s="5">
        <f t="shared" si="18"/>
        <v>964750000</v>
      </c>
      <c r="J231" s="6" t="s">
        <v>20</v>
      </c>
      <c r="K231" s="6">
        <f t="shared" si="15"/>
        <v>38306.25</v>
      </c>
      <c r="L231" s="10">
        <f t="shared" si="16"/>
        <v>18443.75</v>
      </c>
      <c r="M231" s="10">
        <f t="shared" si="17"/>
        <v>313543750</v>
      </c>
      <c r="N231" s="10"/>
      <c r="O231" s="26"/>
      <c r="P231" s="7" t="s">
        <v>4</v>
      </c>
      <c r="Q231" s="6">
        <f>SUM(I197,I201,I205,I209,I213,I217,I221,I225,I229,I233,I237,I241)</f>
        <v>176202160000</v>
      </c>
    </row>
    <row r="232" spans="1:17" x14ac:dyDescent="0.3">
      <c r="A232" s="3">
        <v>45747</v>
      </c>
      <c r="B232" s="22" t="s">
        <v>41</v>
      </c>
      <c r="C232" s="25">
        <v>2025</v>
      </c>
      <c r="D232" s="3" t="s">
        <v>8</v>
      </c>
      <c r="E232" t="s">
        <v>3</v>
      </c>
      <c r="F232" t="s">
        <v>15</v>
      </c>
      <c r="G232" s="4">
        <v>288500</v>
      </c>
      <c r="H232" s="5">
        <v>54550</v>
      </c>
      <c r="I232" s="5">
        <f t="shared" si="18"/>
        <v>15737675000</v>
      </c>
      <c r="J232" s="6" t="s">
        <v>20</v>
      </c>
      <c r="K232" s="6">
        <f t="shared" si="15"/>
        <v>36548.5</v>
      </c>
      <c r="L232" s="10">
        <f t="shared" si="16"/>
        <v>18001.5</v>
      </c>
      <c r="M232" s="10">
        <f t="shared" si="17"/>
        <v>5193432750</v>
      </c>
      <c r="N232" s="10"/>
      <c r="O232" s="26"/>
      <c r="P232" s="7" t="s">
        <v>33</v>
      </c>
      <c r="Q232" s="6">
        <f>SUM(I198,I202,I206,I210,I214,I218,I222,I226,I230,I234,I238,I242)</f>
        <v>41500200000</v>
      </c>
    </row>
    <row r="233" spans="1:17" x14ac:dyDescent="0.3">
      <c r="A233" s="3">
        <v>45747</v>
      </c>
      <c r="B233" s="22" t="s">
        <v>41</v>
      </c>
      <c r="C233" s="25">
        <v>2025</v>
      </c>
      <c r="D233" s="3" t="s">
        <v>8</v>
      </c>
      <c r="E233" t="s">
        <v>4</v>
      </c>
      <c r="F233" t="s">
        <v>16</v>
      </c>
      <c r="G233" s="4">
        <v>343000</v>
      </c>
      <c r="H233" s="5">
        <v>48800</v>
      </c>
      <c r="I233" s="5">
        <f t="shared" si="18"/>
        <v>16738400000</v>
      </c>
      <c r="J233" s="6" t="s">
        <v>20</v>
      </c>
      <c r="K233" s="6">
        <f t="shared" si="15"/>
        <v>27798.334888000001</v>
      </c>
      <c r="L233" s="10">
        <f t="shared" si="16"/>
        <v>21001.665111999999</v>
      </c>
      <c r="M233" s="10">
        <f t="shared" si="17"/>
        <v>7203571133.4159994</v>
      </c>
      <c r="N233" s="10"/>
      <c r="O233" s="26"/>
      <c r="P233" s="7" t="s">
        <v>24</v>
      </c>
      <c r="Q233" s="6">
        <f>SUM(I195:I242)</f>
        <v>442001177500</v>
      </c>
    </row>
    <row r="234" spans="1:17" x14ac:dyDescent="0.3">
      <c r="A234" s="3">
        <v>45747</v>
      </c>
      <c r="B234" s="22" t="s">
        <v>41</v>
      </c>
      <c r="C234" s="25">
        <v>2025</v>
      </c>
      <c r="D234" s="3" t="s">
        <v>8</v>
      </c>
      <c r="E234" t="s">
        <v>5</v>
      </c>
      <c r="F234" t="s">
        <v>15</v>
      </c>
      <c r="G234" s="4">
        <v>270000</v>
      </c>
      <c r="H234" s="5">
        <v>12300</v>
      </c>
      <c r="I234" s="5">
        <f t="shared" si="18"/>
        <v>3321000000</v>
      </c>
      <c r="J234" s="6" t="s">
        <v>20</v>
      </c>
      <c r="K234" s="6">
        <f t="shared" si="15"/>
        <v>7995</v>
      </c>
      <c r="L234" s="10">
        <f t="shared" si="16"/>
        <v>4305</v>
      </c>
      <c r="M234" s="10">
        <f t="shared" si="17"/>
        <v>1162350000</v>
      </c>
      <c r="N234" s="10"/>
      <c r="O234" s="26"/>
    </row>
    <row r="235" spans="1:17" x14ac:dyDescent="0.3">
      <c r="A235" s="3">
        <v>45747</v>
      </c>
      <c r="B235" s="22" t="s">
        <v>41</v>
      </c>
      <c r="C235" s="25">
        <v>2025</v>
      </c>
      <c r="D235" s="3" t="s">
        <v>9</v>
      </c>
      <c r="E235" t="s">
        <v>2</v>
      </c>
      <c r="F235" t="s">
        <v>15</v>
      </c>
      <c r="G235" s="4">
        <v>19300</v>
      </c>
      <c r="H235" s="5">
        <v>56750</v>
      </c>
      <c r="I235" s="5">
        <f t="shared" si="18"/>
        <v>1095275000</v>
      </c>
      <c r="J235" s="6" t="s">
        <v>20</v>
      </c>
      <c r="K235" s="6">
        <f t="shared" si="15"/>
        <v>38306.25</v>
      </c>
      <c r="L235" s="10">
        <f t="shared" si="16"/>
        <v>18443.75</v>
      </c>
      <c r="M235" s="10">
        <f t="shared" si="17"/>
        <v>355964375</v>
      </c>
      <c r="N235" s="10"/>
      <c r="O235" s="26"/>
    </row>
    <row r="236" spans="1:17" x14ac:dyDescent="0.3">
      <c r="A236" s="3">
        <v>45747</v>
      </c>
      <c r="B236" s="22" t="s">
        <v>41</v>
      </c>
      <c r="C236" s="25">
        <v>2025</v>
      </c>
      <c r="D236" s="3" t="s">
        <v>9</v>
      </c>
      <c r="E236" t="s">
        <v>3</v>
      </c>
      <c r="F236" t="s">
        <v>15</v>
      </c>
      <c r="G236" s="4">
        <v>290200</v>
      </c>
      <c r="H236" s="5">
        <v>54550</v>
      </c>
      <c r="I236" s="5">
        <f t="shared" si="18"/>
        <v>15830410000</v>
      </c>
      <c r="J236" s="6" t="s">
        <v>20</v>
      </c>
      <c r="K236" s="6">
        <f t="shared" si="15"/>
        <v>36548.5</v>
      </c>
      <c r="L236" s="10">
        <f t="shared" si="16"/>
        <v>18001.5</v>
      </c>
      <c r="M236" s="10">
        <f t="shared" si="17"/>
        <v>5224035300</v>
      </c>
      <c r="N236" s="10"/>
      <c r="O236" s="26"/>
    </row>
    <row r="237" spans="1:17" x14ac:dyDescent="0.3">
      <c r="A237" s="3">
        <v>45747</v>
      </c>
      <c r="B237" s="22" t="s">
        <v>41</v>
      </c>
      <c r="C237" s="25">
        <v>2025</v>
      </c>
      <c r="D237" s="3" t="s">
        <v>9</v>
      </c>
      <c r="E237" t="s">
        <v>4</v>
      </c>
      <c r="F237" t="s">
        <v>16</v>
      </c>
      <c r="G237" s="4">
        <v>338000</v>
      </c>
      <c r="H237" s="5">
        <v>48800</v>
      </c>
      <c r="I237" s="5">
        <f t="shared" si="18"/>
        <v>16494400000</v>
      </c>
      <c r="J237" s="6" t="s">
        <v>20</v>
      </c>
      <c r="K237" s="6">
        <f t="shared" si="15"/>
        <v>27798.334888000001</v>
      </c>
      <c r="L237" s="10">
        <f t="shared" si="16"/>
        <v>21001.665111999999</v>
      </c>
      <c r="M237" s="10">
        <f t="shared" si="17"/>
        <v>7098562807.8559999</v>
      </c>
      <c r="N237" s="10"/>
      <c r="O237" s="26"/>
    </row>
    <row r="238" spans="1:17" x14ac:dyDescent="0.3">
      <c r="A238" s="3">
        <v>45747</v>
      </c>
      <c r="B238" s="22" t="s">
        <v>41</v>
      </c>
      <c r="C238" s="25">
        <v>2025</v>
      </c>
      <c r="D238" s="3" t="s">
        <v>9</v>
      </c>
      <c r="E238" t="s">
        <v>5</v>
      </c>
      <c r="F238" t="s">
        <v>15</v>
      </c>
      <c r="G238" s="4">
        <v>342000</v>
      </c>
      <c r="H238" s="5">
        <v>12300</v>
      </c>
      <c r="I238" s="5">
        <f t="shared" si="18"/>
        <v>4206600000</v>
      </c>
      <c r="J238" s="6" t="s">
        <v>20</v>
      </c>
      <c r="K238" s="6">
        <f t="shared" si="15"/>
        <v>7995</v>
      </c>
      <c r="L238" s="10">
        <f t="shared" si="16"/>
        <v>4305</v>
      </c>
      <c r="M238" s="10">
        <f t="shared" si="17"/>
        <v>1472310000</v>
      </c>
      <c r="N238" s="10"/>
      <c r="O238" s="26"/>
    </row>
    <row r="239" spans="1:17" x14ac:dyDescent="0.3">
      <c r="A239" s="3">
        <v>45747</v>
      </c>
      <c r="B239" s="22" t="s">
        <v>41</v>
      </c>
      <c r="C239" s="25">
        <v>2025</v>
      </c>
      <c r="D239" s="3" t="s">
        <v>10</v>
      </c>
      <c r="E239" t="s">
        <v>2</v>
      </c>
      <c r="F239" t="s">
        <v>15</v>
      </c>
      <c r="G239" s="4">
        <v>21000</v>
      </c>
      <c r="H239" s="5">
        <v>56750</v>
      </c>
      <c r="I239" s="5">
        <f t="shared" si="18"/>
        <v>1191750000</v>
      </c>
      <c r="J239" s="6" t="s">
        <v>20</v>
      </c>
      <c r="K239" s="6">
        <f t="shared" si="15"/>
        <v>38306.25</v>
      </c>
      <c r="L239" s="10">
        <f t="shared" si="16"/>
        <v>18443.75</v>
      </c>
      <c r="M239" s="10">
        <f t="shared" si="17"/>
        <v>387318750</v>
      </c>
      <c r="N239" s="10"/>
      <c r="O239" s="26"/>
    </row>
    <row r="240" spans="1:17" x14ac:dyDescent="0.3">
      <c r="A240" s="3">
        <v>45747</v>
      </c>
      <c r="B240" s="22" t="s">
        <v>41</v>
      </c>
      <c r="C240" s="25">
        <v>2025</v>
      </c>
      <c r="D240" s="3" t="s">
        <v>10</v>
      </c>
      <c r="E240" t="s">
        <v>3</v>
      </c>
      <c r="F240" t="s">
        <v>15</v>
      </c>
      <c r="G240" s="4">
        <v>340000</v>
      </c>
      <c r="H240" s="5">
        <v>54550</v>
      </c>
      <c r="I240" s="5">
        <f t="shared" si="18"/>
        <v>18547000000</v>
      </c>
      <c r="J240" s="6" t="s">
        <v>20</v>
      </c>
      <c r="K240" s="6">
        <f t="shared" si="15"/>
        <v>36548.5</v>
      </c>
      <c r="L240" s="10">
        <f t="shared" si="16"/>
        <v>18001.5</v>
      </c>
      <c r="M240" s="10">
        <f t="shared" si="17"/>
        <v>6120510000</v>
      </c>
      <c r="N240" s="10"/>
      <c r="O240" s="26"/>
    </row>
    <row r="241" spans="1:15" x14ac:dyDescent="0.3">
      <c r="A241" s="3">
        <v>45747</v>
      </c>
      <c r="B241" s="22" t="s">
        <v>41</v>
      </c>
      <c r="C241" s="25">
        <v>2025</v>
      </c>
      <c r="D241" s="3" t="s">
        <v>10</v>
      </c>
      <c r="E241" t="s">
        <v>4</v>
      </c>
      <c r="F241" t="s">
        <v>16</v>
      </c>
      <c r="G241" s="4">
        <v>265000</v>
      </c>
      <c r="H241" s="5">
        <v>48800</v>
      </c>
      <c r="I241" s="5">
        <f t="shared" si="18"/>
        <v>12932000000</v>
      </c>
      <c r="J241" s="6" t="s">
        <v>20</v>
      </c>
      <c r="K241" s="6">
        <f t="shared" si="15"/>
        <v>27798.334888000001</v>
      </c>
      <c r="L241" s="10">
        <f t="shared" si="16"/>
        <v>21001.665111999999</v>
      </c>
      <c r="M241" s="10">
        <f t="shared" si="17"/>
        <v>5565441254.6799994</v>
      </c>
      <c r="N241" s="10"/>
      <c r="O241" s="26"/>
    </row>
    <row r="242" spans="1:15" x14ac:dyDescent="0.3">
      <c r="A242" s="3">
        <v>45747</v>
      </c>
      <c r="B242" s="22" t="s">
        <v>41</v>
      </c>
      <c r="C242" s="25">
        <v>2025</v>
      </c>
      <c r="D242" s="3" t="s">
        <v>10</v>
      </c>
      <c r="E242" t="s">
        <v>5</v>
      </c>
      <c r="F242" t="s">
        <v>15</v>
      </c>
      <c r="G242" s="4">
        <v>281000</v>
      </c>
      <c r="H242" s="5">
        <v>12300</v>
      </c>
      <c r="I242" s="5">
        <f t="shared" si="18"/>
        <v>3456300000</v>
      </c>
      <c r="J242" s="6" t="s">
        <v>20</v>
      </c>
      <c r="K242" s="6">
        <f t="shared" si="15"/>
        <v>7995</v>
      </c>
      <c r="L242" s="10">
        <f t="shared" si="16"/>
        <v>4305</v>
      </c>
      <c r="M242" s="10">
        <f t="shared" si="17"/>
        <v>1209705000</v>
      </c>
      <c r="N242" s="10"/>
      <c r="O242" s="26"/>
    </row>
    <row r="243" spans="1:15" x14ac:dyDescent="0.3">
      <c r="A243" s="3">
        <v>45777</v>
      </c>
      <c r="B243" s="22" t="s">
        <v>42</v>
      </c>
      <c r="C243" s="25">
        <v>2025</v>
      </c>
      <c r="D243" s="3" t="s">
        <v>7</v>
      </c>
      <c r="E243" t="s">
        <v>2</v>
      </c>
      <c r="F243" t="s">
        <v>15</v>
      </c>
      <c r="G243" s="4">
        <v>37000</v>
      </c>
      <c r="H243" s="5">
        <v>56750</v>
      </c>
      <c r="I243" s="5">
        <f t="shared" si="18"/>
        <v>2099750000</v>
      </c>
      <c r="J243" s="6" t="s">
        <v>21</v>
      </c>
      <c r="K243" s="6">
        <f t="shared" si="15"/>
        <v>38306.25</v>
      </c>
      <c r="L243" s="10">
        <f t="shared" si="16"/>
        <v>18443.75</v>
      </c>
      <c r="M243" s="10">
        <f t="shared" si="17"/>
        <v>682418750</v>
      </c>
      <c r="N243" s="10"/>
      <c r="O243" s="26"/>
    </row>
    <row r="244" spans="1:15" x14ac:dyDescent="0.3">
      <c r="A244" s="3">
        <v>45777</v>
      </c>
      <c r="B244" s="22" t="s">
        <v>42</v>
      </c>
      <c r="C244" s="25">
        <v>2025</v>
      </c>
      <c r="D244" s="3" t="s">
        <v>7</v>
      </c>
      <c r="E244" t="s">
        <v>3</v>
      </c>
      <c r="F244" t="s">
        <v>15</v>
      </c>
      <c r="G244" s="4">
        <v>311000</v>
      </c>
      <c r="H244" s="5">
        <v>54550</v>
      </c>
      <c r="I244" s="5">
        <f t="shared" si="18"/>
        <v>16965050000</v>
      </c>
      <c r="J244" s="6" t="s">
        <v>21</v>
      </c>
      <c r="K244" s="6">
        <f t="shared" si="15"/>
        <v>36548.5</v>
      </c>
      <c r="L244" s="10">
        <f t="shared" si="16"/>
        <v>18001.5</v>
      </c>
      <c r="M244" s="10">
        <f t="shared" si="17"/>
        <v>5598466500</v>
      </c>
      <c r="N244" s="10"/>
      <c r="O244" s="26"/>
    </row>
    <row r="245" spans="1:15" x14ac:dyDescent="0.3">
      <c r="A245" s="3">
        <v>45777</v>
      </c>
      <c r="B245" s="22" t="s">
        <v>42</v>
      </c>
      <c r="C245" s="25">
        <v>2025</v>
      </c>
      <c r="D245" s="3" t="s">
        <v>7</v>
      </c>
      <c r="E245" t="s">
        <v>4</v>
      </c>
      <c r="F245" t="s">
        <v>16</v>
      </c>
      <c r="G245" s="4">
        <v>314600</v>
      </c>
      <c r="H245" s="5">
        <v>48800</v>
      </c>
      <c r="I245" s="5">
        <f t="shared" si="18"/>
        <v>15352480000</v>
      </c>
      <c r="J245" s="6" t="s">
        <v>21</v>
      </c>
      <c r="K245" s="6">
        <f t="shared" si="15"/>
        <v>27798.334888000001</v>
      </c>
      <c r="L245" s="10">
        <f t="shared" si="16"/>
        <v>21001.665111999999</v>
      </c>
      <c r="M245" s="10">
        <f t="shared" si="17"/>
        <v>6607123844.2351999</v>
      </c>
      <c r="N245" s="10"/>
      <c r="O245" s="26"/>
    </row>
    <row r="246" spans="1:15" x14ac:dyDescent="0.3">
      <c r="A246" s="3">
        <v>45777</v>
      </c>
      <c r="B246" s="22" t="s">
        <v>42</v>
      </c>
      <c r="C246" s="25">
        <v>2025</v>
      </c>
      <c r="D246" s="3" t="s">
        <v>7</v>
      </c>
      <c r="E246" t="s">
        <v>5</v>
      </c>
      <c r="F246" t="s">
        <v>15</v>
      </c>
      <c r="G246" s="4">
        <v>380000</v>
      </c>
      <c r="H246" s="5">
        <v>12300</v>
      </c>
      <c r="I246" s="5">
        <f t="shared" si="18"/>
        <v>4674000000</v>
      </c>
      <c r="J246" s="6" t="s">
        <v>21</v>
      </c>
      <c r="K246" s="6">
        <f t="shared" si="15"/>
        <v>7995</v>
      </c>
      <c r="L246" s="10">
        <f t="shared" si="16"/>
        <v>4305</v>
      </c>
      <c r="M246" s="10">
        <f t="shared" si="17"/>
        <v>1635900000</v>
      </c>
      <c r="N246" s="10"/>
      <c r="O246" s="26"/>
    </row>
    <row r="247" spans="1:15" x14ac:dyDescent="0.3">
      <c r="A247" s="3">
        <v>45777</v>
      </c>
      <c r="B247" s="22" t="s">
        <v>42</v>
      </c>
      <c r="C247" s="25">
        <v>2025</v>
      </c>
      <c r="D247" s="3" t="s">
        <v>8</v>
      </c>
      <c r="E247" t="s">
        <v>2</v>
      </c>
      <c r="F247" t="s">
        <v>15</v>
      </c>
      <c r="G247" s="4">
        <v>38000</v>
      </c>
      <c r="H247" s="5">
        <v>56750</v>
      </c>
      <c r="I247" s="5">
        <f t="shared" si="18"/>
        <v>2156500000</v>
      </c>
      <c r="J247" s="6" t="s">
        <v>21</v>
      </c>
      <c r="K247" s="6">
        <f t="shared" si="15"/>
        <v>38306.25</v>
      </c>
      <c r="L247" s="10">
        <f t="shared" si="16"/>
        <v>18443.75</v>
      </c>
      <c r="M247" s="10">
        <f t="shared" si="17"/>
        <v>700862500</v>
      </c>
      <c r="N247" s="10"/>
      <c r="O247" s="26"/>
    </row>
    <row r="248" spans="1:15" x14ac:dyDescent="0.3">
      <c r="A248" s="3">
        <v>45777</v>
      </c>
      <c r="B248" s="22" t="s">
        <v>42</v>
      </c>
      <c r="C248" s="25">
        <v>2025</v>
      </c>
      <c r="D248" s="3" t="s">
        <v>8</v>
      </c>
      <c r="E248" t="s">
        <v>3</v>
      </c>
      <c r="F248" t="s">
        <v>15</v>
      </c>
      <c r="G248" s="4">
        <v>253000</v>
      </c>
      <c r="H248" s="5">
        <v>54550</v>
      </c>
      <c r="I248" s="5">
        <f t="shared" si="18"/>
        <v>13801150000</v>
      </c>
      <c r="J248" s="6" t="s">
        <v>21</v>
      </c>
      <c r="K248" s="6">
        <f t="shared" si="15"/>
        <v>36548.5</v>
      </c>
      <c r="L248" s="10">
        <f t="shared" si="16"/>
        <v>18001.5</v>
      </c>
      <c r="M248" s="10">
        <f t="shared" si="17"/>
        <v>4554379500</v>
      </c>
      <c r="N248" s="10"/>
      <c r="O248" s="26"/>
    </row>
    <row r="249" spans="1:15" x14ac:dyDescent="0.3">
      <c r="A249" s="3">
        <v>45777</v>
      </c>
      <c r="B249" s="22" t="s">
        <v>42</v>
      </c>
      <c r="C249" s="25">
        <v>2025</v>
      </c>
      <c r="D249" s="3" t="s">
        <v>8</v>
      </c>
      <c r="E249" t="s">
        <v>4</v>
      </c>
      <c r="F249" t="s">
        <v>16</v>
      </c>
      <c r="G249" s="4">
        <v>377000</v>
      </c>
      <c r="H249" s="5">
        <v>48800</v>
      </c>
      <c r="I249" s="5">
        <f t="shared" si="18"/>
        <v>18397600000</v>
      </c>
      <c r="J249" s="6" t="s">
        <v>21</v>
      </c>
      <c r="K249" s="6">
        <f t="shared" si="15"/>
        <v>27798.334888000001</v>
      </c>
      <c r="L249" s="10">
        <f t="shared" si="16"/>
        <v>21001.665111999999</v>
      </c>
      <c r="M249" s="10">
        <f t="shared" si="17"/>
        <v>7917627747.224</v>
      </c>
      <c r="N249" s="10"/>
      <c r="O249" s="26"/>
    </row>
    <row r="250" spans="1:15" x14ac:dyDescent="0.3">
      <c r="A250" s="3">
        <v>45777</v>
      </c>
      <c r="B250" s="22" t="s">
        <v>42</v>
      </c>
      <c r="C250" s="25">
        <v>2025</v>
      </c>
      <c r="D250" s="3" t="s">
        <v>8</v>
      </c>
      <c r="E250" t="s">
        <v>5</v>
      </c>
      <c r="F250" t="s">
        <v>15</v>
      </c>
      <c r="G250" s="4">
        <v>383000</v>
      </c>
      <c r="H250" s="5">
        <v>12300</v>
      </c>
      <c r="I250" s="5">
        <f t="shared" si="18"/>
        <v>4710900000</v>
      </c>
      <c r="J250" s="6" t="s">
        <v>21</v>
      </c>
      <c r="K250" s="6">
        <f t="shared" si="15"/>
        <v>7995</v>
      </c>
      <c r="L250" s="10">
        <f t="shared" si="16"/>
        <v>4305</v>
      </c>
      <c r="M250" s="10">
        <f t="shared" si="17"/>
        <v>1648815000</v>
      </c>
      <c r="N250" s="10"/>
      <c r="O250" s="26"/>
    </row>
    <row r="251" spans="1:15" x14ac:dyDescent="0.3">
      <c r="A251" s="3">
        <v>45777</v>
      </c>
      <c r="B251" s="22" t="s">
        <v>42</v>
      </c>
      <c r="C251" s="25">
        <v>2025</v>
      </c>
      <c r="D251" s="3" t="s">
        <v>9</v>
      </c>
      <c r="E251" t="s">
        <v>2</v>
      </c>
      <c r="F251" t="s">
        <v>15</v>
      </c>
      <c r="G251" s="4">
        <v>34000</v>
      </c>
      <c r="H251" s="5">
        <v>56750</v>
      </c>
      <c r="I251" s="5">
        <f t="shared" si="18"/>
        <v>1929500000</v>
      </c>
      <c r="J251" s="6" t="s">
        <v>21</v>
      </c>
      <c r="K251" s="6">
        <f t="shared" si="15"/>
        <v>38306.25</v>
      </c>
      <c r="L251" s="10">
        <f t="shared" si="16"/>
        <v>18443.75</v>
      </c>
      <c r="M251" s="10">
        <f t="shared" si="17"/>
        <v>627087500</v>
      </c>
      <c r="N251" s="10"/>
      <c r="O251" s="26"/>
    </row>
    <row r="252" spans="1:15" x14ac:dyDescent="0.3">
      <c r="A252" s="3">
        <v>45777</v>
      </c>
      <c r="B252" s="22" t="s">
        <v>42</v>
      </c>
      <c r="C252" s="25">
        <v>2025</v>
      </c>
      <c r="D252" s="3" t="s">
        <v>9</v>
      </c>
      <c r="E252" t="s">
        <v>3</v>
      </c>
      <c r="F252" t="s">
        <v>15</v>
      </c>
      <c r="G252" s="4">
        <v>272000</v>
      </c>
      <c r="H252" s="5">
        <v>54550</v>
      </c>
      <c r="I252" s="5">
        <f t="shared" si="18"/>
        <v>14837600000</v>
      </c>
      <c r="J252" s="6" t="s">
        <v>21</v>
      </c>
      <c r="K252" s="6">
        <f t="shared" si="15"/>
        <v>36548.5</v>
      </c>
      <c r="L252" s="10">
        <f t="shared" si="16"/>
        <v>18001.5</v>
      </c>
      <c r="M252" s="10">
        <f t="shared" si="17"/>
        <v>4896408000</v>
      </c>
      <c r="N252" s="10"/>
      <c r="O252" s="26"/>
    </row>
    <row r="253" spans="1:15" x14ac:dyDescent="0.3">
      <c r="A253" s="3">
        <v>45777</v>
      </c>
      <c r="B253" s="22" t="s">
        <v>42</v>
      </c>
      <c r="C253" s="25">
        <v>2025</v>
      </c>
      <c r="D253" s="3" t="s">
        <v>9</v>
      </c>
      <c r="E253" t="s">
        <v>4</v>
      </c>
      <c r="F253" t="s">
        <v>16</v>
      </c>
      <c r="G253" s="4">
        <v>366000</v>
      </c>
      <c r="H253" s="5">
        <v>48800</v>
      </c>
      <c r="I253" s="5">
        <f t="shared" si="18"/>
        <v>17860800000</v>
      </c>
      <c r="J253" s="6" t="s">
        <v>21</v>
      </c>
      <c r="K253" s="6">
        <f t="shared" si="15"/>
        <v>27798.334888000001</v>
      </c>
      <c r="L253" s="10">
        <f t="shared" si="16"/>
        <v>21001.665111999999</v>
      </c>
      <c r="M253" s="10">
        <f t="shared" si="17"/>
        <v>7686609430.9919996</v>
      </c>
      <c r="N253" s="10"/>
      <c r="O253" s="26"/>
    </row>
    <row r="254" spans="1:15" x14ac:dyDescent="0.3">
      <c r="A254" s="3">
        <v>45777</v>
      </c>
      <c r="B254" s="22" t="s">
        <v>42</v>
      </c>
      <c r="C254" s="25">
        <v>2025</v>
      </c>
      <c r="D254" s="3" t="s">
        <v>9</v>
      </c>
      <c r="E254" t="s">
        <v>5</v>
      </c>
      <c r="F254" t="s">
        <v>15</v>
      </c>
      <c r="G254" s="4">
        <v>415000</v>
      </c>
      <c r="H254" s="5">
        <v>12300</v>
      </c>
      <c r="I254" s="5">
        <f t="shared" si="18"/>
        <v>5104500000</v>
      </c>
      <c r="J254" s="6" t="s">
        <v>21</v>
      </c>
      <c r="K254" s="6">
        <f t="shared" si="15"/>
        <v>7995</v>
      </c>
      <c r="L254" s="10">
        <f t="shared" si="16"/>
        <v>4305</v>
      </c>
      <c r="M254" s="10">
        <f t="shared" si="17"/>
        <v>1786575000</v>
      </c>
      <c r="N254" s="10"/>
      <c r="O254" s="26"/>
    </row>
    <row r="255" spans="1:15" x14ac:dyDescent="0.3">
      <c r="A255" s="3">
        <v>45777</v>
      </c>
      <c r="B255" s="22" t="s">
        <v>42</v>
      </c>
      <c r="C255" s="25">
        <v>2025</v>
      </c>
      <c r="D255" s="3" t="s">
        <v>10</v>
      </c>
      <c r="E255" t="s">
        <v>2</v>
      </c>
      <c r="F255" t="s">
        <v>15</v>
      </c>
      <c r="G255" s="4">
        <v>43400</v>
      </c>
      <c r="H255" s="5">
        <v>56750</v>
      </c>
      <c r="I255" s="5">
        <f t="shared" si="18"/>
        <v>2462950000</v>
      </c>
      <c r="J255" s="6" t="s">
        <v>21</v>
      </c>
      <c r="K255" s="6">
        <f t="shared" si="15"/>
        <v>38306.25</v>
      </c>
      <c r="L255" s="10">
        <f t="shared" si="16"/>
        <v>18443.75</v>
      </c>
      <c r="M255" s="10">
        <f t="shared" si="17"/>
        <v>800458750</v>
      </c>
      <c r="N255" s="10"/>
      <c r="O255" s="26"/>
    </row>
    <row r="256" spans="1:15" x14ac:dyDescent="0.3">
      <c r="A256" s="3">
        <v>45777</v>
      </c>
      <c r="B256" s="22" t="s">
        <v>42</v>
      </c>
      <c r="C256" s="25">
        <v>2025</v>
      </c>
      <c r="D256" s="3" t="s">
        <v>10</v>
      </c>
      <c r="E256" t="s">
        <v>3</v>
      </c>
      <c r="F256" t="s">
        <v>15</v>
      </c>
      <c r="G256" s="4">
        <v>313000</v>
      </c>
      <c r="H256" s="5">
        <v>54550</v>
      </c>
      <c r="I256" s="5">
        <f t="shared" si="18"/>
        <v>17074150000</v>
      </c>
      <c r="J256" s="6" t="s">
        <v>21</v>
      </c>
      <c r="K256" s="6">
        <f t="shared" si="15"/>
        <v>36548.5</v>
      </c>
      <c r="L256" s="10">
        <f t="shared" si="16"/>
        <v>18001.5</v>
      </c>
      <c r="M256" s="10">
        <f t="shared" si="17"/>
        <v>5634469500</v>
      </c>
      <c r="N256" s="10"/>
      <c r="O256" s="26"/>
    </row>
    <row r="257" spans="1:15" x14ac:dyDescent="0.3">
      <c r="A257" s="3">
        <v>45777</v>
      </c>
      <c r="B257" s="22" t="s">
        <v>42</v>
      </c>
      <c r="C257" s="25">
        <v>2025</v>
      </c>
      <c r="D257" s="3" t="s">
        <v>10</v>
      </c>
      <c r="E257" t="s">
        <v>4</v>
      </c>
      <c r="F257" t="s">
        <v>16</v>
      </c>
      <c r="G257" s="4">
        <v>328000</v>
      </c>
      <c r="H257" s="5">
        <v>48800</v>
      </c>
      <c r="I257" s="5">
        <f t="shared" si="18"/>
        <v>16006400000</v>
      </c>
      <c r="J257" s="6" t="s">
        <v>21</v>
      </c>
      <c r="K257" s="6">
        <f t="shared" si="15"/>
        <v>27798.334888000001</v>
      </c>
      <c r="L257" s="10">
        <f t="shared" si="16"/>
        <v>21001.665111999999</v>
      </c>
      <c r="M257" s="10">
        <f t="shared" si="17"/>
        <v>6888546156.7360001</v>
      </c>
      <c r="N257" s="10"/>
      <c r="O257" s="26"/>
    </row>
    <row r="258" spans="1:15" x14ac:dyDescent="0.3">
      <c r="A258" s="3">
        <v>45777</v>
      </c>
      <c r="B258" s="22" t="s">
        <v>42</v>
      </c>
      <c r="C258" s="25">
        <v>2025</v>
      </c>
      <c r="D258" s="3" t="s">
        <v>10</v>
      </c>
      <c r="E258" t="s">
        <v>5</v>
      </c>
      <c r="F258" t="s">
        <v>15</v>
      </c>
      <c r="G258" s="4">
        <v>343000</v>
      </c>
      <c r="H258" s="5">
        <v>12300</v>
      </c>
      <c r="I258" s="5">
        <f t="shared" si="18"/>
        <v>4218900000</v>
      </c>
      <c r="J258" s="6" t="s">
        <v>21</v>
      </c>
      <c r="K258" s="6">
        <f t="shared" si="15"/>
        <v>7995</v>
      </c>
      <c r="L258" s="10">
        <f t="shared" si="16"/>
        <v>4305</v>
      </c>
      <c r="M258" s="10">
        <f t="shared" si="17"/>
        <v>1476615000</v>
      </c>
      <c r="N258" s="10"/>
      <c r="O258" s="26"/>
    </row>
    <row r="259" spans="1:15" x14ac:dyDescent="0.3">
      <c r="A259" s="3">
        <v>45808</v>
      </c>
      <c r="B259" s="22" t="s">
        <v>43</v>
      </c>
      <c r="C259" s="25">
        <v>2025</v>
      </c>
      <c r="D259" s="3" t="s">
        <v>7</v>
      </c>
      <c r="E259" t="s">
        <v>2</v>
      </c>
      <c r="F259" t="s">
        <v>15</v>
      </c>
      <c r="G259" s="4">
        <v>31000</v>
      </c>
      <c r="H259" s="5">
        <v>56750</v>
      </c>
      <c r="I259" s="5">
        <f t="shared" si="18"/>
        <v>1759250000</v>
      </c>
      <c r="J259" s="6" t="s">
        <v>21</v>
      </c>
      <c r="K259" s="6">
        <f t="shared" si="15"/>
        <v>38306.25</v>
      </c>
      <c r="L259" s="10">
        <f t="shared" si="16"/>
        <v>18443.75</v>
      </c>
      <c r="M259" s="10">
        <f t="shared" si="17"/>
        <v>571756250</v>
      </c>
      <c r="N259" s="10"/>
      <c r="O259" s="26"/>
    </row>
    <row r="260" spans="1:15" x14ac:dyDescent="0.3">
      <c r="A260" s="3">
        <v>45808</v>
      </c>
      <c r="B260" s="22" t="s">
        <v>43</v>
      </c>
      <c r="C260" s="25">
        <v>2025</v>
      </c>
      <c r="D260" s="3" t="s">
        <v>7</v>
      </c>
      <c r="E260" t="s">
        <v>3</v>
      </c>
      <c r="F260" t="s">
        <v>15</v>
      </c>
      <c r="G260" s="4">
        <v>316000</v>
      </c>
      <c r="H260" s="5">
        <v>54550</v>
      </c>
      <c r="I260" s="5">
        <f t="shared" ref="I260:I310" si="19">H260*G260</f>
        <v>17237800000</v>
      </c>
      <c r="J260" s="6" t="s">
        <v>21</v>
      </c>
      <c r="K260" s="6">
        <f t="shared" ref="K260:K323" si="20">IF(E260="Flour",H260*0.56963801,IF(E260="Pasta",H260*0.65,IF(E260="Sugar",H260*0.67,IF(E260="Rice",H260*0.675))))</f>
        <v>36548.5</v>
      </c>
      <c r="L260" s="10">
        <f t="shared" ref="L260:L323" si="21">H260-K260</f>
        <v>18001.5</v>
      </c>
      <c r="M260" s="10">
        <f t="shared" ref="M260:M323" si="22">(G260*L260)</f>
        <v>5688474000</v>
      </c>
      <c r="N260" s="10"/>
      <c r="O260" s="26"/>
    </row>
    <row r="261" spans="1:15" x14ac:dyDescent="0.3">
      <c r="A261" s="3">
        <v>45808</v>
      </c>
      <c r="B261" s="22" t="s">
        <v>43</v>
      </c>
      <c r="C261" s="25">
        <v>2025</v>
      </c>
      <c r="D261" s="3" t="s">
        <v>7</v>
      </c>
      <c r="E261" t="s">
        <v>4</v>
      </c>
      <c r="F261" t="s">
        <v>16</v>
      </c>
      <c r="G261" s="4">
        <v>283300</v>
      </c>
      <c r="H261" s="5">
        <v>48800</v>
      </c>
      <c r="I261" s="5">
        <f t="shared" si="19"/>
        <v>13825040000</v>
      </c>
      <c r="J261" s="6" t="s">
        <v>21</v>
      </c>
      <c r="K261" s="6">
        <f t="shared" si="20"/>
        <v>27798.334888000001</v>
      </c>
      <c r="L261" s="10">
        <f t="shared" si="21"/>
        <v>21001.665111999999</v>
      </c>
      <c r="M261" s="10">
        <f t="shared" si="22"/>
        <v>5949771726.2296</v>
      </c>
      <c r="N261" s="10"/>
      <c r="O261" s="26"/>
    </row>
    <row r="262" spans="1:15" x14ac:dyDescent="0.3">
      <c r="A262" s="3">
        <v>45808</v>
      </c>
      <c r="B262" s="22" t="s">
        <v>43</v>
      </c>
      <c r="C262" s="25">
        <v>2025</v>
      </c>
      <c r="D262" s="3" t="s">
        <v>7</v>
      </c>
      <c r="E262" t="s">
        <v>5</v>
      </c>
      <c r="F262" t="s">
        <v>15</v>
      </c>
      <c r="G262" s="4">
        <v>386000</v>
      </c>
      <c r="H262" s="5">
        <v>12300</v>
      </c>
      <c r="I262" s="5">
        <f t="shared" si="19"/>
        <v>4747800000</v>
      </c>
      <c r="J262" s="6" t="s">
        <v>21</v>
      </c>
      <c r="K262" s="6">
        <f t="shared" si="20"/>
        <v>7995</v>
      </c>
      <c r="L262" s="10">
        <f t="shared" si="21"/>
        <v>4305</v>
      </c>
      <c r="M262" s="10">
        <f t="shared" si="22"/>
        <v>1661730000</v>
      </c>
      <c r="N262" s="10"/>
      <c r="O262" s="26"/>
    </row>
    <row r="263" spans="1:15" x14ac:dyDescent="0.3">
      <c r="A263" s="3">
        <v>45808</v>
      </c>
      <c r="B263" s="22" t="s">
        <v>43</v>
      </c>
      <c r="C263" s="25">
        <v>2025</v>
      </c>
      <c r="D263" s="3" t="s">
        <v>8</v>
      </c>
      <c r="E263" t="s">
        <v>2</v>
      </c>
      <c r="F263" t="s">
        <v>15</v>
      </c>
      <c r="G263" s="4">
        <v>35700</v>
      </c>
      <c r="H263" s="5">
        <v>56750</v>
      </c>
      <c r="I263" s="5">
        <f t="shared" si="19"/>
        <v>2025975000</v>
      </c>
      <c r="J263" s="6" t="s">
        <v>21</v>
      </c>
      <c r="K263" s="6">
        <f t="shared" si="20"/>
        <v>38306.25</v>
      </c>
      <c r="L263" s="10">
        <f t="shared" si="21"/>
        <v>18443.75</v>
      </c>
      <c r="M263" s="10">
        <f t="shared" si="22"/>
        <v>658441875</v>
      </c>
      <c r="N263" s="10"/>
      <c r="O263" s="26"/>
    </row>
    <row r="264" spans="1:15" x14ac:dyDescent="0.3">
      <c r="A264" s="3">
        <v>45808</v>
      </c>
      <c r="B264" s="22" t="s">
        <v>43</v>
      </c>
      <c r="C264" s="25">
        <v>2025</v>
      </c>
      <c r="D264" s="3" t="s">
        <v>8</v>
      </c>
      <c r="E264" t="s">
        <v>3</v>
      </c>
      <c r="F264" t="s">
        <v>15</v>
      </c>
      <c r="G264" s="4">
        <v>260000</v>
      </c>
      <c r="H264" s="5">
        <v>54550</v>
      </c>
      <c r="I264" s="5">
        <f t="shared" si="19"/>
        <v>14183000000</v>
      </c>
      <c r="J264" s="6" t="s">
        <v>21</v>
      </c>
      <c r="K264" s="6">
        <f t="shared" si="20"/>
        <v>36548.5</v>
      </c>
      <c r="L264" s="10">
        <f t="shared" si="21"/>
        <v>18001.5</v>
      </c>
      <c r="M264" s="10">
        <f t="shared" si="22"/>
        <v>4680390000</v>
      </c>
      <c r="N264" s="10"/>
      <c r="O264" s="26"/>
    </row>
    <row r="265" spans="1:15" x14ac:dyDescent="0.3">
      <c r="A265" s="3">
        <v>45808</v>
      </c>
      <c r="B265" s="22" t="s">
        <v>43</v>
      </c>
      <c r="C265" s="25">
        <v>2025</v>
      </c>
      <c r="D265" s="3" t="s">
        <v>8</v>
      </c>
      <c r="E265" t="s">
        <v>4</v>
      </c>
      <c r="F265" t="s">
        <v>16</v>
      </c>
      <c r="G265" s="4">
        <v>363400</v>
      </c>
      <c r="H265" s="5">
        <v>48800</v>
      </c>
      <c r="I265" s="5">
        <f t="shared" si="19"/>
        <v>17733920000</v>
      </c>
      <c r="J265" s="6" t="s">
        <v>21</v>
      </c>
      <c r="K265" s="6">
        <f t="shared" si="20"/>
        <v>27798.334888000001</v>
      </c>
      <c r="L265" s="10">
        <f t="shared" si="21"/>
        <v>21001.665111999999</v>
      </c>
      <c r="M265" s="10">
        <f t="shared" si="22"/>
        <v>7632005101.7007999</v>
      </c>
      <c r="N265" s="10"/>
      <c r="O265" s="26"/>
    </row>
    <row r="266" spans="1:15" x14ac:dyDescent="0.3">
      <c r="A266" s="3">
        <v>45808</v>
      </c>
      <c r="B266" s="22" t="s">
        <v>43</v>
      </c>
      <c r="C266" s="25">
        <v>2025</v>
      </c>
      <c r="D266" s="3" t="s">
        <v>8</v>
      </c>
      <c r="E266" t="s">
        <v>5</v>
      </c>
      <c r="F266" t="s">
        <v>15</v>
      </c>
      <c r="G266" s="4">
        <v>360000</v>
      </c>
      <c r="H266" s="5">
        <v>12300</v>
      </c>
      <c r="I266" s="5">
        <f t="shared" si="19"/>
        <v>4428000000</v>
      </c>
      <c r="J266" s="6" t="s">
        <v>21</v>
      </c>
      <c r="K266" s="6">
        <f t="shared" si="20"/>
        <v>7995</v>
      </c>
      <c r="L266" s="10">
        <f t="shared" si="21"/>
        <v>4305</v>
      </c>
      <c r="M266" s="10">
        <f t="shared" si="22"/>
        <v>1549800000</v>
      </c>
      <c r="N266" s="10"/>
      <c r="O266" s="26"/>
    </row>
    <row r="267" spans="1:15" x14ac:dyDescent="0.3">
      <c r="A267" s="3">
        <v>45808</v>
      </c>
      <c r="B267" s="22" t="s">
        <v>43</v>
      </c>
      <c r="C267" s="25">
        <v>2025</v>
      </c>
      <c r="D267" s="3" t="s">
        <v>9</v>
      </c>
      <c r="E267" t="s">
        <v>2</v>
      </c>
      <c r="F267" t="s">
        <v>15</v>
      </c>
      <c r="G267" s="4">
        <v>36000</v>
      </c>
      <c r="H267" s="5">
        <v>56750</v>
      </c>
      <c r="I267" s="5">
        <f t="shared" si="19"/>
        <v>2043000000</v>
      </c>
      <c r="J267" s="6" t="s">
        <v>21</v>
      </c>
      <c r="K267" s="6">
        <f t="shared" si="20"/>
        <v>38306.25</v>
      </c>
      <c r="L267" s="10">
        <f t="shared" si="21"/>
        <v>18443.75</v>
      </c>
      <c r="M267" s="10">
        <f t="shared" si="22"/>
        <v>663975000</v>
      </c>
      <c r="N267" s="10"/>
      <c r="O267" s="26"/>
    </row>
    <row r="268" spans="1:15" x14ac:dyDescent="0.3">
      <c r="A268" s="3">
        <v>45808</v>
      </c>
      <c r="B268" s="22" t="s">
        <v>43</v>
      </c>
      <c r="C268" s="25">
        <v>2025</v>
      </c>
      <c r="D268" s="3" t="s">
        <v>9</v>
      </c>
      <c r="E268" t="s">
        <v>3</v>
      </c>
      <c r="F268" t="s">
        <v>15</v>
      </c>
      <c r="G268" s="4">
        <v>256000</v>
      </c>
      <c r="H268" s="5">
        <v>54550</v>
      </c>
      <c r="I268" s="5">
        <f t="shared" si="19"/>
        <v>13964800000</v>
      </c>
      <c r="J268" s="6" t="s">
        <v>21</v>
      </c>
      <c r="K268" s="6">
        <f t="shared" si="20"/>
        <v>36548.5</v>
      </c>
      <c r="L268" s="10">
        <f t="shared" si="21"/>
        <v>18001.5</v>
      </c>
      <c r="M268" s="10">
        <f t="shared" si="22"/>
        <v>4608384000</v>
      </c>
      <c r="N268" s="10"/>
      <c r="O268" s="26"/>
    </row>
    <row r="269" spans="1:15" x14ac:dyDescent="0.3">
      <c r="A269" s="3">
        <v>45808</v>
      </c>
      <c r="B269" s="22" t="s">
        <v>43</v>
      </c>
      <c r="C269" s="25">
        <v>2025</v>
      </c>
      <c r="D269" s="3" t="s">
        <v>9</v>
      </c>
      <c r="E269" t="s">
        <v>4</v>
      </c>
      <c r="F269" t="s">
        <v>16</v>
      </c>
      <c r="G269" s="4">
        <v>366000</v>
      </c>
      <c r="H269" s="5">
        <v>48800</v>
      </c>
      <c r="I269" s="5">
        <f t="shared" si="19"/>
        <v>17860800000</v>
      </c>
      <c r="J269" s="6" t="s">
        <v>21</v>
      </c>
      <c r="K269" s="6">
        <f t="shared" si="20"/>
        <v>27798.334888000001</v>
      </c>
      <c r="L269" s="10">
        <f t="shared" si="21"/>
        <v>21001.665111999999</v>
      </c>
      <c r="M269" s="10">
        <f t="shared" si="22"/>
        <v>7686609430.9919996</v>
      </c>
      <c r="N269" s="10"/>
      <c r="O269" s="26"/>
    </row>
    <row r="270" spans="1:15" x14ac:dyDescent="0.3">
      <c r="A270" s="3">
        <v>45808</v>
      </c>
      <c r="B270" s="22" t="s">
        <v>43</v>
      </c>
      <c r="C270" s="25">
        <v>2025</v>
      </c>
      <c r="D270" s="3" t="s">
        <v>9</v>
      </c>
      <c r="E270" t="s">
        <v>5</v>
      </c>
      <c r="F270" t="s">
        <v>15</v>
      </c>
      <c r="G270" s="4">
        <v>413000</v>
      </c>
      <c r="H270" s="5">
        <v>12300</v>
      </c>
      <c r="I270" s="5">
        <f t="shared" si="19"/>
        <v>5079900000</v>
      </c>
      <c r="J270" s="6" t="s">
        <v>21</v>
      </c>
      <c r="K270" s="6">
        <f t="shared" si="20"/>
        <v>7995</v>
      </c>
      <c r="L270" s="10">
        <f t="shared" si="21"/>
        <v>4305</v>
      </c>
      <c r="M270" s="10">
        <f t="shared" si="22"/>
        <v>1777965000</v>
      </c>
      <c r="N270" s="10"/>
      <c r="O270" s="26"/>
    </row>
    <row r="271" spans="1:15" x14ac:dyDescent="0.3">
      <c r="A271" s="3">
        <v>45808</v>
      </c>
      <c r="B271" s="22" t="s">
        <v>43</v>
      </c>
      <c r="C271" s="25">
        <v>2025</v>
      </c>
      <c r="D271" s="3" t="s">
        <v>10</v>
      </c>
      <c r="E271" t="s">
        <v>2</v>
      </c>
      <c r="F271" t="s">
        <v>15</v>
      </c>
      <c r="G271" s="4">
        <v>47000</v>
      </c>
      <c r="H271" s="5">
        <v>56750</v>
      </c>
      <c r="I271" s="5">
        <f t="shared" si="19"/>
        <v>2667250000</v>
      </c>
      <c r="J271" s="6" t="s">
        <v>21</v>
      </c>
      <c r="K271" s="6">
        <f t="shared" si="20"/>
        <v>38306.25</v>
      </c>
      <c r="L271" s="10">
        <f t="shared" si="21"/>
        <v>18443.75</v>
      </c>
      <c r="M271" s="10">
        <f t="shared" si="22"/>
        <v>866856250</v>
      </c>
      <c r="N271" s="10"/>
      <c r="O271" s="26"/>
    </row>
    <row r="272" spans="1:15" x14ac:dyDescent="0.3">
      <c r="A272" s="3">
        <v>45808</v>
      </c>
      <c r="B272" s="22" t="s">
        <v>43</v>
      </c>
      <c r="C272" s="25">
        <v>2025</v>
      </c>
      <c r="D272" s="3" t="s">
        <v>10</v>
      </c>
      <c r="E272" t="s">
        <v>3</v>
      </c>
      <c r="F272" t="s">
        <v>15</v>
      </c>
      <c r="G272" s="4">
        <v>307000</v>
      </c>
      <c r="H272" s="5">
        <v>54550</v>
      </c>
      <c r="I272" s="5">
        <f t="shared" si="19"/>
        <v>16746850000</v>
      </c>
      <c r="J272" s="6" t="s">
        <v>21</v>
      </c>
      <c r="K272" s="6">
        <f t="shared" si="20"/>
        <v>36548.5</v>
      </c>
      <c r="L272" s="10">
        <f t="shared" si="21"/>
        <v>18001.5</v>
      </c>
      <c r="M272" s="10">
        <f t="shared" si="22"/>
        <v>5526460500</v>
      </c>
      <c r="N272" s="10"/>
      <c r="O272" s="26"/>
    </row>
    <row r="273" spans="1:17" x14ac:dyDescent="0.3">
      <c r="A273" s="3">
        <v>45808</v>
      </c>
      <c r="B273" s="22" t="s">
        <v>43</v>
      </c>
      <c r="C273" s="25">
        <v>2025</v>
      </c>
      <c r="D273" s="3" t="s">
        <v>10</v>
      </c>
      <c r="E273" t="s">
        <v>4</v>
      </c>
      <c r="F273" t="s">
        <v>16</v>
      </c>
      <c r="G273" s="4">
        <v>348000</v>
      </c>
      <c r="H273" s="5">
        <v>48800</v>
      </c>
      <c r="I273" s="5">
        <f t="shared" si="19"/>
        <v>16982400000</v>
      </c>
      <c r="J273" s="6" t="s">
        <v>21</v>
      </c>
      <c r="K273" s="6">
        <f t="shared" si="20"/>
        <v>27798.334888000001</v>
      </c>
      <c r="L273" s="10">
        <f t="shared" si="21"/>
        <v>21001.665111999999</v>
      </c>
      <c r="M273" s="10">
        <f t="shared" si="22"/>
        <v>7308579458.9759998</v>
      </c>
      <c r="N273" s="10"/>
      <c r="O273" s="26"/>
    </row>
    <row r="274" spans="1:17" x14ac:dyDescent="0.3">
      <c r="A274" s="3">
        <v>45808</v>
      </c>
      <c r="B274" s="22" t="s">
        <v>43</v>
      </c>
      <c r="C274" s="25">
        <v>2025</v>
      </c>
      <c r="D274" s="3" t="s">
        <v>10</v>
      </c>
      <c r="E274" t="s">
        <v>5</v>
      </c>
      <c r="F274" t="s">
        <v>15</v>
      </c>
      <c r="G274" s="4">
        <v>341500</v>
      </c>
      <c r="H274" s="5">
        <v>12300</v>
      </c>
      <c r="I274" s="5">
        <f t="shared" si="19"/>
        <v>4200450000</v>
      </c>
      <c r="J274" s="6" t="s">
        <v>21</v>
      </c>
      <c r="K274" s="6">
        <f t="shared" si="20"/>
        <v>7995</v>
      </c>
      <c r="L274" s="10">
        <f t="shared" si="21"/>
        <v>4305</v>
      </c>
      <c r="M274" s="10">
        <f t="shared" si="22"/>
        <v>1470157500</v>
      </c>
      <c r="N274" s="10"/>
      <c r="O274" s="26"/>
    </row>
    <row r="275" spans="1:17" x14ac:dyDescent="0.3">
      <c r="A275" s="3">
        <v>45838</v>
      </c>
      <c r="B275" s="22" t="s">
        <v>44</v>
      </c>
      <c r="C275" s="25">
        <v>2025</v>
      </c>
      <c r="D275" s="3" t="s">
        <v>7</v>
      </c>
      <c r="E275" t="s">
        <v>2</v>
      </c>
      <c r="F275" t="s">
        <v>15</v>
      </c>
      <c r="G275" s="4">
        <v>37000</v>
      </c>
      <c r="H275" s="5">
        <v>56750</v>
      </c>
      <c r="I275" s="5">
        <f t="shared" si="19"/>
        <v>2099750000</v>
      </c>
      <c r="J275" s="6" t="s">
        <v>21</v>
      </c>
      <c r="K275" s="6">
        <f t="shared" si="20"/>
        <v>38306.25</v>
      </c>
      <c r="L275" s="10">
        <f t="shared" si="21"/>
        <v>18443.75</v>
      </c>
      <c r="M275" s="10">
        <f t="shared" si="22"/>
        <v>682418750</v>
      </c>
      <c r="N275" s="10"/>
      <c r="O275" s="26"/>
    </row>
    <row r="276" spans="1:17" x14ac:dyDescent="0.3">
      <c r="A276" s="3">
        <v>45838</v>
      </c>
      <c r="B276" s="22" t="s">
        <v>44</v>
      </c>
      <c r="C276" s="25">
        <v>2025</v>
      </c>
      <c r="D276" s="3" t="s">
        <v>7</v>
      </c>
      <c r="E276" t="s">
        <v>3</v>
      </c>
      <c r="F276" t="s">
        <v>15</v>
      </c>
      <c r="G276" s="4">
        <v>309000</v>
      </c>
      <c r="H276" s="5">
        <v>54550</v>
      </c>
      <c r="I276" s="5">
        <f t="shared" si="19"/>
        <v>16855950000</v>
      </c>
      <c r="J276" s="6" t="s">
        <v>21</v>
      </c>
      <c r="K276" s="6">
        <f t="shared" si="20"/>
        <v>36548.5</v>
      </c>
      <c r="L276" s="10">
        <f t="shared" si="21"/>
        <v>18001.5</v>
      </c>
      <c r="M276" s="10">
        <f t="shared" si="22"/>
        <v>5562463500</v>
      </c>
      <c r="N276" s="10"/>
      <c r="O276" s="26"/>
    </row>
    <row r="277" spans="1:17" x14ac:dyDescent="0.3">
      <c r="A277" s="3">
        <v>45838</v>
      </c>
      <c r="B277" s="22" t="s">
        <v>44</v>
      </c>
      <c r="C277" s="25">
        <v>2025</v>
      </c>
      <c r="D277" s="3" t="s">
        <v>7</v>
      </c>
      <c r="E277" t="s">
        <v>4</v>
      </c>
      <c r="F277" t="s">
        <v>16</v>
      </c>
      <c r="G277" s="4">
        <v>310000</v>
      </c>
      <c r="H277" s="5">
        <v>48800</v>
      </c>
      <c r="I277" s="5">
        <f t="shared" si="19"/>
        <v>15128000000</v>
      </c>
      <c r="J277" s="6" t="s">
        <v>21</v>
      </c>
      <c r="K277" s="6">
        <f t="shared" si="20"/>
        <v>27798.334888000001</v>
      </c>
      <c r="L277" s="10">
        <f t="shared" si="21"/>
        <v>21001.665111999999</v>
      </c>
      <c r="M277" s="10">
        <f t="shared" si="22"/>
        <v>6510516184.7199993</v>
      </c>
      <c r="N277" s="10"/>
      <c r="O277" s="26"/>
    </row>
    <row r="278" spans="1:17" x14ac:dyDescent="0.3">
      <c r="A278" s="3">
        <v>45838</v>
      </c>
      <c r="B278" s="22" t="s">
        <v>44</v>
      </c>
      <c r="C278" s="25">
        <v>2025</v>
      </c>
      <c r="D278" s="3" t="s">
        <v>7</v>
      </c>
      <c r="E278" t="s">
        <v>5</v>
      </c>
      <c r="F278" t="s">
        <v>15</v>
      </c>
      <c r="G278" s="4">
        <v>334000</v>
      </c>
      <c r="H278" s="5">
        <v>12300</v>
      </c>
      <c r="I278" s="5">
        <f t="shared" si="19"/>
        <v>4108200000</v>
      </c>
      <c r="J278" s="6" t="s">
        <v>21</v>
      </c>
      <c r="K278" s="6">
        <f t="shared" si="20"/>
        <v>7995</v>
      </c>
      <c r="L278" s="10">
        <f t="shared" si="21"/>
        <v>4305</v>
      </c>
      <c r="M278" s="10">
        <f t="shared" si="22"/>
        <v>1437870000</v>
      </c>
      <c r="N278" s="10"/>
      <c r="O278" s="26"/>
    </row>
    <row r="279" spans="1:17" x14ac:dyDescent="0.3">
      <c r="A279" s="3">
        <v>45838</v>
      </c>
      <c r="B279" s="22" t="s">
        <v>44</v>
      </c>
      <c r="C279" s="25">
        <v>2025</v>
      </c>
      <c r="D279" s="3" t="s">
        <v>8</v>
      </c>
      <c r="E279" t="s">
        <v>2</v>
      </c>
      <c r="F279" t="s">
        <v>15</v>
      </c>
      <c r="G279" s="4">
        <v>35000</v>
      </c>
      <c r="H279" s="5">
        <v>56750</v>
      </c>
      <c r="I279" s="5">
        <f t="shared" si="19"/>
        <v>1986250000</v>
      </c>
      <c r="J279" s="6" t="s">
        <v>21</v>
      </c>
      <c r="K279" s="6">
        <f t="shared" si="20"/>
        <v>38306.25</v>
      </c>
      <c r="L279" s="10">
        <f t="shared" si="21"/>
        <v>18443.75</v>
      </c>
      <c r="M279" s="10">
        <f t="shared" si="22"/>
        <v>645531250</v>
      </c>
      <c r="N279" s="10"/>
      <c r="O279" s="26"/>
    </row>
    <row r="280" spans="1:17" x14ac:dyDescent="0.3">
      <c r="A280" s="3">
        <v>45838</v>
      </c>
      <c r="B280" s="22" t="s">
        <v>44</v>
      </c>
      <c r="C280" s="25">
        <v>2025</v>
      </c>
      <c r="D280" s="3" t="s">
        <v>8</v>
      </c>
      <c r="E280" t="s">
        <v>3</v>
      </c>
      <c r="F280" t="s">
        <v>15</v>
      </c>
      <c r="G280" s="4">
        <v>253000</v>
      </c>
      <c r="H280" s="5">
        <v>54550</v>
      </c>
      <c r="I280" s="5">
        <f t="shared" si="19"/>
        <v>13801150000</v>
      </c>
      <c r="J280" s="6" t="s">
        <v>21</v>
      </c>
      <c r="K280" s="6">
        <f t="shared" si="20"/>
        <v>36548.5</v>
      </c>
      <c r="L280" s="10">
        <f t="shared" si="21"/>
        <v>18001.5</v>
      </c>
      <c r="M280" s="10">
        <f t="shared" si="22"/>
        <v>4554379500</v>
      </c>
      <c r="N280" s="10"/>
      <c r="O280" s="26"/>
    </row>
    <row r="281" spans="1:17" x14ac:dyDescent="0.3">
      <c r="A281" s="3">
        <v>45838</v>
      </c>
      <c r="B281" s="22" t="s">
        <v>44</v>
      </c>
      <c r="C281" s="25">
        <v>2025</v>
      </c>
      <c r="D281" s="3" t="s">
        <v>8</v>
      </c>
      <c r="E281" t="s">
        <v>4</v>
      </c>
      <c r="F281" t="s">
        <v>16</v>
      </c>
      <c r="G281" s="4">
        <v>349000</v>
      </c>
      <c r="H281" s="5">
        <v>48800</v>
      </c>
      <c r="I281" s="5">
        <f t="shared" si="19"/>
        <v>17031200000</v>
      </c>
      <c r="J281" s="6" t="s">
        <v>21</v>
      </c>
      <c r="K281" s="6">
        <f t="shared" si="20"/>
        <v>27798.334888000001</v>
      </c>
      <c r="L281" s="10">
        <f t="shared" si="21"/>
        <v>21001.665111999999</v>
      </c>
      <c r="M281" s="10">
        <f t="shared" si="22"/>
        <v>7329581124.0879993</v>
      </c>
      <c r="N281" s="10"/>
      <c r="O281" s="26"/>
    </row>
    <row r="282" spans="1:17" x14ac:dyDescent="0.3">
      <c r="A282" s="3">
        <v>45838</v>
      </c>
      <c r="B282" s="22" t="s">
        <v>44</v>
      </c>
      <c r="C282" s="25">
        <v>2025</v>
      </c>
      <c r="D282" s="3" t="s">
        <v>8</v>
      </c>
      <c r="E282" t="s">
        <v>5</v>
      </c>
      <c r="F282" t="s">
        <v>15</v>
      </c>
      <c r="G282" s="4">
        <v>331500</v>
      </c>
      <c r="H282" s="5">
        <v>12300</v>
      </c>
      <c r="I282" s="5">
        <f t="shared" si="19"/>
        <v>4077450000</v>
      </c>
      <c r="J282" s="6" t="s">
        <v>21</v>
      </c>
      <c r="K282" s="6">
        <f t="shared" si="20"/>
        <v>7995</v>
      </c>
      <c r="L282" s="10">
        <f t="shared" si="21"/>
        <v>4305</v>
      </c>
      <c r="M282" s="10">
        <f t="shared" si="22"/>
        <v>1427107500</v>
      </c>
      <c r="N282" s="10"/>
      <c r="O282" s="26"/>
    </row>
    <row r="283" spans="1:17" x14ac:dyDescent="0.3">
      <c r="A283" s="3">
        <v>45838</v>
      </c>
      <c r="B283" s="22" t="s">
        <v>44</v>
      </c>
      <c r="C283" s="25">
        <v>2025</v>
      </c>
      <c r="D283" s="3" t="s">
        <v>9</v>
      </c>
      <c r="E283" t="s">
        <v>2</v>
      </c>
      <c r="F283" t="s">
        <v>15</v>
      </c>
      <c r="G283" s="4">
        <v>34300</v>
      </c>
      <c r="H283" s="5">
        <v>56750</v>
      </c>
      <c r="I283" s="5">
        <f t="shared" si="19"/>
        <v>1946525000</v>
      </c>
      <c r="J283" s="6" t="s">
        <v>21</v>
      </c>
      <c r="K283" s="6">
        <f t="shared" si="20"/>
        <v>38306.25</v>
      </c>
      <c r="L283" s="10">
        <f t="shared" si="21"/>
        <v>18443.75</v>
      </c>
      <c r="M283" s="10">
        <f t="shared" si="22"/>
        <v>632620625</v>
      </c>
      <c r="N283" s="10"/>
      <c r="O283" s="26"/>
    </row>
    <row r="284" spans="1:17" x14ac:dyDescent="0.3">
      <c r="A284" s="3">
        <v>45838</v>
      </c>
      <c r="B284" s="22" t="s">
        <v>44</v>
      </c>
      <c r="C284" s="25">
        <v>2025</v>
      </c>
      <c r="D284" s="3" t="s">
        <v>9</v>
      </c>
      <c r="E284" t="s">
        <v>3</v>
      </c>
      <c r="F284" t="s">
        <v>15</v>
      </c>
      <c r="G284" s="4">
        <v>264400</v>
      </c>
      <c r="H284" s="5">
        <v>54550</v>
      </c>
      <c r="I284" s="5">
        <f t="shared" si="19"/>
        <v>14423020000</v>
      </c>
      <c r="J284" s="6" t="s">
        <v>21</v>
      </c>
      <c r="K284" s="6">
        <f t="shared" si="20"/>
        <v>36548.5</v>
      </c>
      <c r="L284" s="10">
        <f t="shared" si="21"/>
        <v>18001.5</v>
      </c>
      <c r="M284" s="10">
        <f t="shared" si="22"/>
        <v>4759596600</v>
      </c>
      <c r="N284" s="10"/>
      <c r="O284" s="26"/>
    </row>
    <row r="285" spans="1:17" x14ac:dyDescent="0.3">
      <c r="A285" s="3">
        <v>45838</v>
      </c>
      <c r="B285" s="22" t="s">
        <v>44</v>
      </c>
      <c r="C285" s="25">
        <v>2025</v>
      </c>
      <c r="D285" s="3" t="s">
        <v>9</v>
      </c>
      <c r="E285" t="s">
        <v>4</v>
      </c>
      <c r="F285" t="s">
        <v>16</v>
      </c>
      <c r="G285" s="4">
        <v>338000</v>
      </c>
      <c r="H285" s="5">
        <v>48800</v>
      </c>
      <c r="I285" s="5">
        <f t="shared" si="19"/>
        <v>16494400000</v>
      </c>
      <c r="J285" s="6" t="s">
        <v>21</v>
      </c>
      <c r="K285" s="6">
        <f t="shared" si="20"/>
        <v>27798.334888000001</v>
      </c>
      <c r="L285" s="10">
        <f t="shared" si="21"/>
        <v>21001.665111999999</v>
      </c>
      <c r="M285" s="10">
        <f t="shared" si="22"/>
        <v>7098562807.8559999</v>
      </c>
      <c r="N285" s="10"/>
      <c r="O285" s="26"/>
    </row>
    <row r="286" spans="1:17" x14ac:dyDescent="0.3">
      <c r="A286" s="3">
        <v>45838</v>
      </c>
      <c r="B286" s="22" t="s">
        <v>44</v>
      </c>
      <c r="C286" s="25">
        <v>2025</v>
      </c>
      <c r="D286" s="3" t="s">
        <v>9</v>
      </c>
      <c r="E286" t="s">
        <v>5</v>
      </c>
      <c r="F286" t="s">
        <v>15</v>
      </c>
      <c r="G286" s="4">
        <v>415000</v>
      </c>
      <c r="H286" s="5">
        <v>12300</v>
      </c>
      <c r="I286" s="5">
        <f t="shared" si="19"/>
        <v>5104500000</v>
      </c>
      <c r="J286" s="6" t="s">
        <v>21</v>
      </c>
      <c r="K286" s="6">
        <f t="shared" si="20"/>
        <v>7995</v>
      </c>
      <c r="L286" s="10">
        <f t="shared" si="21"/>
        <v>4305</v>
      </c>
      <c r="M286" s="10">
        <f t="shared" si="22"/>
        <v>1786575000</v>
      </c>
      <c r="N286" s="10"/>
      <c r="O286" s="26"/>
      <c r="P286" s="7" t="s">
        <v>3</v>
      </c>
      <c r="Q286" s="6">
        <f>SUM(I244,I248,I252,I256,I260,I264,I268,I272,I276,I280,I284,I288)</f>
        <v>186801020000</v>
      </c>
    </row>
    <row r="287" spans="1:17" x14ac:dyDescent="0.3">
      <c r="A287" s="3">
        <v>45838</v>
      </c>
      <c r="B287" s="22" t="s">
        <v>44</v>
      </c>
      <c r="C287" s="25">
        <v>2025</v>
      </c>
      <c r="D287" s="3" t="s">
        <v>10</v>
      </c>
      <c r="E287" t="s">
        <v>2</v>
      </c>
      <c r="F287" t="s">
        <v>15</v>
      </c>
      <c r="G287" s="4">
        <v>52000</v>
      </c>
      <c r="H287" s="5">
        <v>56750</v>
      </c>
      <c r="I287" s="5">
        <f t="shared" si="19"/>
        <v>2951000000</v>
      </c>
      <c r="J287" s="6" t="s">
        <v>21</v>
      </c>
      <c r="K287" s="6">
        <f t="shared" si="20"/>
        <v>38306.25</v>
      </c>
      <c r="L287" s="10">
        <f t="shared" si="21"/>
        <v>18443.75</v>
      </c>
      <c r="M287" s="10">
        <f t="shared" si="22"/>
        <v>959075000</v>
      </c>
      <c r="N287" s="10"/>
      <c r="O287" s="26"/>
      <c r="P287" s="7" t="s">
        <v>36</v>
      </c>
      <c r="Q287" s="6">
        <f>SUM(I243,I247,I251,I255,I259,I263,I267,I271,I275,I279,I283,I287)</f>
        <v>26127700000</v>
      </c>
    </row>
    <row r="288" spans="1:17" x14ac:dyDescent="0.3">
      <c r="A288" s="3">
        <v>45838</v>
      </c>
      <c r="B288" s="22" t="s">
        <v>44</v>
      </c>
      <c r="C288" s="25">
        <v>2025</v>
      </c>
      <c r="D288" s="3" t="s">
        <v>10</v>
      </c>
      <c r="E288" t="s">
        <v>3</v>
      </c>
      <c r="F288" t="s">
        <v>15</v>
      </c>
      <c r="G288" s="4">
        <v>310000</v>
      </c>
      <c r="H288" s="5">
        <v>54550</v>
      </c>
      <c r="I288" s="5">
        <f t="shared" si="19"/>
        <v>16910500000</v>
      </c>
      <c r="J288" s="6" t="s">
        <v>21</v>
      </c>
      <c r="K288" s="6">
        <f t="shared" si="20"/>
        <v>36548.5</v>
      </c>
      <c r="L288" s="10">
        <f t="shared" si="21"/>
        <v>18001.5</v>
      </c>
      <c r="M288" s="10">
        <f t="shared" si="22"/>
        <v>5580465000</v>
      </c>
      <c r="N288" s="10"/>
      <c r="O288" s="26"/>
      <c r="P288" s="7" t="s">
        <v>4</v>
      </c>
      <c r="Q288" s="6">
        <f>SUM(I245,I249,I253,I257,I261,I265,I269,I273,I277,I281,I285,I289)</f>
        <v>198581840000</v>
      </c>
    </row>
    <row r="289" spans="1:17" x14ac:dyDescent="0.3">
      <c r="A289" s="3">
        <v>45838</v>
      </c>
      <c r="B289" s="22" t="s">
        <v>44</v>
      </c>
      <c r="C289" s="25">
        <v>2025</v>
      </c>
      <c r="D289" s="3" t="s">
        <v>10</v>
      </c>
      <c r="E289" t="s">
        <v>4</v>
      </c>
      <c r="F289" t="s">
        <v>16</v>
      </c>
      <c r="G289" s="4">
        <v>326000</v>
      </c>
      <c r="H289" s="5">
        <v>48800</v>
      </c>
      <c r="I289" s="5">
        <f t="shared" si="19"/>
        <v>15908800000</v>
      </c>
      <c r="J289" s="6" t="s">
        <v>21</v>
      </c>
      <c r="K289" s="6">
        <f t="shared" si="20"/>
        <v>27798.334888000001</v>
      </c>
      <c r="L289" s="10">
        <f t="shared" si="21"/>
        <v>21001.665111999999</v>
      </c>
      <c r="M289" s="10">
        <f t="shared" si="22"/>
        <v>6846542826.5119991</v>
      </c>
      <c r="N289" s="10"/>
      <c r="O289" s="26"/>
      <c r="P289" s="7" t="s">
        <v>33</v>
      </c>
      <c r="Q289" s="6">
        <f>SUM(I246,I250,I254,I258,I262,I266,I270,I274,I278,I282,I286,I290)</f>
        <v>54698100000</v>
      </c>
    </row>
    <row r="290" spans="1:17" x14ac:dyDescent="0.3">
      <c r="A290" s="3">
        <v>45838</v>
      </c>
      <c r="B290" s="22" t="s">
        <v>44</v>
      </c>
      <c r="C290" s="25">
        <v>2025</v>
      </c>
      <c r="D290" s="3" t="s">
        <v>10</v>
      </c>
      <c r="E290" t="s">
        <v>5</v>
      </c>
      <c r="F290" t="s">
        <v>15</v>
      </c>
      <c r="G290" s="4">
        <v>345000</v>
      </c>
      <c r="H290" s="5">
        <v>12300</v>
      </c>
      <c r="I290" s="5">
        <f t="shared" si="19"/>
        <v>4243500000</v>
      </c>
      <c r="J290" s="6" t="s">
        <v>21</v>
      </c>
      <c r="K290" s="6">
        <f t="shared" si="20"/>
        <v>7995</v>
      </c>
      <c r="L290" s="10">
        <f t="shared" si="21"/>
        <v>4305</v>
      </c>
      <c r="M290" s="10">
        <f t="shared" si="22"/>
        <v>1485225000</v>
      </c>
      <c r="N290" s="10"/>
      <c r="O290" s="26"/>
      <c r="P290" s="7" t="s">
        <v>30</v>
      </c>
      <c r="Q290" s="6">
        <f>SUM(I243:I290)</f>
        <v>466208660000</v>
      </c>
    </row>
    <row r="291" spans="1:17" x14ac:dyDescent="0.3">
      <c r="A291" s="3">
        <v>45869</v>
      </c>
      <c r="B291" s="22" t="s">
        <v>45</v>
      </c>
      <c r="C291" s="25">
        <v>2025</v>
      </c>
      <c r="D291" s="3" t="s">
        <v>7</v>
      </c>
      <c r="E291" t="s">
        <v>2</v>
      </c>
      <c r="F291" t="s">
        <v>15</v>
      </c>
      <c r="G291" s="4">
        <v>49300</v>
      </c>
      <c r="H291" s="5">
        <v>56750</v>
      </c>
      <c r="I291" s="5">
        <f t="shared" si="19"/>
        <v>2797775000</v>
      </c>
      <c r="J291" s="6" t="s">
        <v>22</v>
      </c>
      <c r="K291" s="6">
        <f t="shared" si="20"/>
        <v>38306.25</v>
      </c>
      <c r="L291" s="10">
        <f t="shared" si="21"/>
        <v>18443.75</v>
      </c>
      <c r="M291" s="10">
        <f t="shared" si="22"/>
        <v>909276875</v>
      </c>
      <c r="N291" s="10"/>
      <c r="O291" s="26"/>
    </row>
    <row r="292" spans="1:17" x14ac:dyDescent="0.3">
      <c r="A292" s="3">
        <v>45869</v>
      </c>
      <c r="B292" s="22" t="s">
        <v>45</v>
      </c>
      <c r="C292" s="25">
        <v>2025</v>
      </c>
      <c r="D292" s="3" t="s">
        <v>7</v>
      </c>
      <c r="E292" t="s">
        <v>3</v>
      </c>
      <c r="F292" t="s">
        <v>15</v>
      </c>
      <c r="G292" s="4">
        <v>535000</v>
      </c>
      <c r="H292" s="5">
        <v>54550</v>
      </c>
      <c r="I292" s="5">
        <f t="shared" si="19"/>
        <v>29184250000</v>
      </c>
      <c r="J292" s="6" t="s">
        <v>22</v>
      </c>
      <c r="K292" s="6">
        <f t="shared" si="20"/>
        <v>36548.5</v>
      </c>
      <c r="L292" s="10">
        <f t="shared" si="21"/>
        <v>18001.5</v>
      </c>
      <c r="M292" s="10">
        <f t="shared" si="22"/>
        <v>9630802500</v>
      </c>
      <c r="N292" s="10"/>
      <c r="O292" s="26"/>
    </row>
    <row r="293" spans="1:17" x14ac:dyDescent="0.3">
      <c r="A293" s="3">
        <v>45869</v>
      </c>
      <c r="B293" s="22" t="s">
        <v>45</v>
      </c>
      <c r="C293" s="25">
        <v>2025</v>
      </c>
      <c r="D293" s="3" t="s">
        <v>7</v>
      </c>
      <c r="E293" t="s">
        <v>4</v>
      </c>
      <c r="F293" t="s">
        <v>16</v>
      </c>
      <c r="G293" s="4">
        <v>341000</v>
      </c>
      <c r="H293" s="5">
        <v>48800</v>
      </c>
      <c r="I293" s="5">
        <f t="shared" si="19"/>
        <v>16640800000</v>
      </c>
      <c r="J293" s="6" t="s">
        <v>22</v>
      </c>
      <c r="K293" s="6">
        <f t="shared" si="20"/>
        <v>27798.334888000001</v>
      </c>
      <c r="L293" s="10">
        <f t="shared" si="21"/>
        <v>21001.665111999999</v>
      </c>
      <c r="M293" s="10">
        <f t="shared" si="22"/>
        <v>7161567803.1919994</v>
      </c>
      <c r="N293" s="10"/>
      <c r="O293" s="26"/>
    </row>
    <row r="294" spans="1:17" x14ac:dyDescent="0.3">
      <c r="A294" s="3">
        <v>45869</v>
      </c>
      <c r="B294" s="22" t="s">
        <v>45</v>
      </c>
      <c r="C294" s="25">
        <v>2025</v>
      </c>
      <c r="D294" s="3" t="s">
        <v>7</v>
      </c>
      <c r="E294" t="s">
        <v>5</v>
      </c>
      <c r="F294" t="s">
        <v>15</v>
      </c>
      <c r="G294" s="4">
        <v>350000</v>
      </c>
      <c r="H294" s="5">
        <v>12300</v>
      </c>
      <c r="I294" s="5">
        <f t="shared" si="19"/>
        <v>4305000000</v>
      </c>
      <c r="J294" s="6" t="s">
        <v>22</v>
      </c>
      <c r="K294" s="6">
        <f t="shared" si="20"/>
        <v>7995</v>
      </c>
      <c r="L294" s="10">
        <f t="shared" si="21"/>
        <v>4305</v>
      </c>
      <c r="M294" s="10">
        <f t="shared" si="22"/>
        <v>1506750000</v>
      </c>
      <c r="N294" s="10"/>
      <c r="O294" s="26"/>
    </row>
    <row r="295" spans="1:17" x14ac:dyDescent="0.3">
      <c r="A295" s="3">
        <v>45869</v>
      </c>
      <c r="B295" s="22" t="s">
        <v>45</v>
      </c>
      <c r="C295" s="25">
        <v>2025</v>
      </c>
      <c r="D295" s="3" t="s">
        <v>8</v>
      </c>
      <c r="E295" t="s">
        <v>2</v>
      </c>
      <c r="F295" t="s">
        <v>15</v>
      </c>
      <c r="G295" s="4">
        <v>48000</v>
      </c>
      <c r="H295" s="5">
        <v>56750</v>
      </c>
      <c r="I295" s="5">
        <f t="shared" si="19"/>
        <v>2724000000</v>
      </c>
      <c r="J295" s="6" t="s">
        <v>22</v>
      </c>
      <c r="K295" s="6">
        <f t="shared" si="20"/>
        <v>38306.25</v>
      </c>
      <c r="L295" s="10">
        <f t="shared" si="21"/>
        <v>18443.75</v>
      </c>
      <c r="M295" s="10">
        <f t="shared" si="22"/>
        <v>885300000</v>
      </c>
      <c r="N295" s="10"/>
      <c r="O295" s="26"/>
    </row>
    <row r="296" spans="1:17" x14ac:dyDescent="0.3">
      <c r="A296" s="3">
        <v>45869</v>
      </c>
      <c r="B296" s="22" t="s">
        <v>45</v>
      </c>
      <c r="C296" s="25">
        <v>2025</v>
      </c>
      <c r="D296" s="3" t="s">
        <v>8</v>
      </c>
      <c r="E296" t="s">
        <v>3</v>
      </c>
      <c r="F296" t="s">
        <v>15</v>
      </c>
      <c r="G296" s="4">
        <v>478000</v>
      </c>
      <c r="H296" s="5">
        <v>54550</v>
      </c>
      <c r="I296" s="5">
        <f t="shared" si="19"/>
        <v>26074900000</v>
      </c>
      <c r="J296" s="6" t="s">
        <v>22</v>
      </c>
      <c r="K296" s="6">
        <f t="shared" si="20"/>
        <v>36548.5</v>
      </c>
      <c r="L296" s="10">
        <f t="shared" si="21"/>
        <v>18001.5</v>
      </c>
      <c r="M296" s="10">
        <f t="shared" si="22"/>
        <v>8604717000</v>
      </c>
      <c r="N296" s="10"/>
      <c r="O296" s="26"/>
    </row>
    <row r="297" spans="1:17" x14ac:dyDescent="0.3">
      <c r="A297" s="3">
        <v>45869</v>
      </c>
      <c r="B297" s="22" t="s">
        <v>45</v>
      </c>
      <c r="C297" s="25">
        <v>2025</v>
      </c>
      <c r="D297" s="3" t="s">
        <v>8</v>
      </c>
      <c r="E297" t="s">
        <v>4</v>
      </c>
      <c r="F297" t="s">
        <v>16</v>
      </c>
      <c r="G297" s="4">
        <v>388000</v>
      </c>
      <c r="H297" s="5">
        <v>48800</v>
      </c>
      <c r="I297" s="5">
        <f t="shared" si="19"/>
        <v>18934400000</v>
      </c>
      <c r="J297" s="6" t="s">
        <v>22</v>
      </c>
      <c r="K297" s="6">
        <f t="shared" si="20"/>
        <v>27798.334888000001</v>
      </c>
      <c r="L297" s="10">
        <f t="shared" si="21"/>
        <v>21001.665111999999</v>
      </c>
      <c r="M297" s="10">
        <f t="shared" si="22"/>
        <v>8148646063.4559994</v>
      </c>
      <c r="N297" s="10"/>
      <c r="O297" s="26"/>
    </row>
    <row r="298" spans="1:17" x14ac:dyDescent="0.3">
      <c r="A298" s="3">
        <v>45869</v>
      </c>
      <c r="B298" s="22" t="s">
        <v>45</v>
      </c>
      <c r="C298" s="25">
        <v>2025</v>
      </c>
      <c r="D298" s="3" t="s">
        <v>8</v>
      </c>
      <c r="E298" t="s">
        <v>5</v>
      </c>
      <c r="F298" t="s">
        <v>15</v>
      </c>
      <c r="G298" s="4">
        <v>336000</v>
      </c>
      <c r="H298" s="5">
        <v>12300</v>
      </c>
      <c r="I298" s="5">
        <f t="shared" si="19"/>
        <v>4132800000</v>
      </c>
      <c r="J298" s="6" t="s">
        <v>22</v>
      </c>
      <c r="K298" s="6">
        <f t="shared" si="20"/>
        <v>7995</v>
      </c>
      <c r="L298" s="10">
        <f t="shared" si="21"/>
        <v>4305</v>
      </c>
      <c r="M298" s="10">
        <f t="shared" si="22"/>
        <v>1446480000</v>
      </c>
      <c r="N298" s="10"/>
      <c r="O298" s="26"/>
    </row>
    <row r="299" spans="1:17" x14ac:dyDescent="0.3">
      <c r="A299" s="3">
        <v>45869</v>
      </c>
      <c r="B299" s="22" t="s">
        <v>45</v>
      </c>
      <c r="C299" s="25">
        <v>2025</v>
      </c>
      <c r="D299" s="3" t="s">
        <v>9</v>
      </c>
      <c r="E299" t="s">
        <v>2</v>
      </c>
      <c r="F299" t="s">
        <v>15</v>
      </c>
      <c r="G299" s="4">
        <v>51000</v>
      </c>
      <c r="H299" s="5">
        <v>56750</v>
      </c>
      <c r="I299" s="5">
        <f t="shared" si="19"/>
        <v>2894250000</v>
      </c>
      <c r="J299" s="6" t="s">
        <v>22</v>
      </c>
      <c r="K299" s="6">
        <f t="shared" si="20"/>
        <v>38306.25</v>
      </c>
      <c r="L299" s="10">
        <f t="shared" si="21"/>
        <v>18443.75</v>
      </c>
      <c r="M299" s="10">
        <f t="shared" si="22"/>
        <v>940631250</v>
      </c>
      <c r="N299" s="10"/>
      <c r="O299" s="26"/>
    </row>
    <row r="300" spans="1:17" x14ac:dyDescent="0.3">
      <c r="A300" s="3">
        <v>45869</v>
      </c>
      <c r="B300" s="22" t="s">
        <v>45</v>
      </c>
      <c r="C300" s="25">
        <v>2025</v>
      </c>
      <c r="D300" s="3" t="s">
        <v>9</v>
      </c>
      <c r="E300" t="s">
        <v>3</v>
      </c>
      <c r="F300" t="s">
        <v>15</v>
      </c>
      <c r="G300" s="4">
        <v>488000</v>
      </c>
      <c r="H300" s="5">
        <v>54550</v>
      </c>
      <c r="I300" s="5">
        <f t="shared" si="19"/>
        <v>26620400000</v>
      </c>
      <c r="J300" s="6" t="s">
        <v>22</v>
      </c>
      <c r="K300" s="6">
        <f t="shared" si="20"/>
        <v>36548.5</v>
      </c>
      <c r="L300" s="10">
        <f t="shared" si="21"/>
        <v>18001.5</v>
      </c>
      <c r="M300" s="10">
        <f t="shared" si="22"/>
        <v>8784732000</v>
      </c>
      <c r="N300" s="10"/>
      <c r="O300" s="26"/>
    </row>
    <row r="301" spans="1:17" x14ac:dyDescent="0.3">
      <c r="A301" s="3">
        <v>45869</v>
      </c>
      <c r="B301" s="22" t="s">
        <v>45</v>
      </c>
      <c r="C301" s="25">
        <v>2025</v>
      </c>
      <c r="D301" s="3" t="s">
        <v>9</v>
      </c>
      <c r="E301" t="s">
        <v>4</v>
      </c>
      <c r="F301" t="s">
        <v>16</v>
      </c>
      <c r="G301" s="4">
        <v>370000</v>
      </c>
      <c r="H301" s="5">
        <v>48800</v>
      </c>
      <c r="I301" s="5">
        <f t="shared" si="19"/>
        <v>18056000000</v>
      </c>
      <c r="J301" s="6" t="s">
        <v>22</v>
      </c>
      <c r="K301" s="6">
        <f t="shared" si="20"/>
        <v>27798.334888000001</v>
      </c>
      <c r="L301" s="10">
        <f t="shared" si="21"/>
        <v>21001.665111999999</v>
      </c>
      <c r="M301" s="10">
        <f t="shared" si="22"/>
        <v>7770616091.4399996</v>
      </c>
      <c r="N301" s="10"/>
      <c r="O301" s="26"/>
    </row>
    <row r="302" spans="1:17" x14ac:dyDescent="0.3">
      <c r="A302" s="3">
        <v>45869</v>
      </c>
      <c r="B302" s="22" t="s">
        <v>45</v>
      </c>
      <c r="C302" s="25">
        <v>2025</v>
      </c>
      <c r="D302" s="3" t="s">
        <v>9</v>
      </c>
      <c r="E302" t="s">
        <v>5</v>
      </c>
      <c r="F302" t="s">
        <v>15</v>
      </c>
      <c r="G302" s="4">
        <v>386000</v>
      </c>
      <c r="H302" s="5">
        <v>12300</v>
      </c>
      <c r="I302" s="5">
        <f t="shared" si="19"/>
        <v>4747800000</v>
      </c>
      <c r="J302" s="6" t="s">
        <v>22</v>
      </c>
      <c r="K302" s="6">
        <f t="shared" si="20"/>
        <v>7995</v>
      </c>
      <c r="L302" s="10">
        <f t="shared" si="21"/>
        <v>4305</v>
      </c>
      <c r="M302" s="10">
        <f t="shared" si="22"/>
        <v>1661730000</v>
      </c>
      <c r="N302" s="10"/>
      <c r="O302" s="26"/>
    </row>
    <row r="303" spans="1:17" x14ac:dyDescent="0.3">
      <c r="A303" s="3">
        <v>45869</v>
      </c>
      <c r="B303" s="22" t="s">
        <v>45</v>
      </c>
      <c r="C303" s="25">
        <v>2025</v>
      </c>
      <c r="D303" s="3" t="s">
        <v>10</v>
      </c>
      <c r="E303" t="s">
        <v>2</v>
      </c>
      <c r="F303" t="s">
        <v>15</v>
      </c>
      <c r="G303" s="4">
        <v>60600</v>
      </c>
      <c r="H303" s="5">
        <v>56750</v>
      </c>
      <c r="I303" s="5">
        <f t="shared" si="19"/>
        <v>3439050000</v>
      </c>
      <c r="J303" s="6" t="s">
        <v>22</v>
      </c>
      <c r="K303" s="6">
        <f t="shared" si="20"/>
        <v>38306.25</v>
      </c>
      <c r="L303" s="10">
        <f t="shared" si="21"/>
        <v>18443.75</v>
      </c>
      <c r="M303" s="10">
        <f t="shared" si="22"/>
        <v>1117691250</v>
      </c>
      <c r="N303" s="10"/>
      <c r="O303" s="26"/>
    </row>
    <row r="304" spans="1:17" x14ac:dyDescent="0.3">
      <c r="A304" s="3">
        <v>45869</v>
      </c>
      <c r="B304" s="22" t="s">
        <v>45</v>
      </c>
      <c r="C304" s="25">
        <v>2025</v>
      </c>
      <c r="D304" s="3" t="s">
        <v>10</v>
      </c>
      <c r="E304" t="s">
        <v>3</v>
      </c>
      <c r="F304" t="s">
        <v>15</v>
      </c>
      <c r="G304" s="4">
        <v>550000</v>
      </c>
      <c r="H304" s="5">
        <v>54550</v>
      </c>
      <c r="I304" s="5">
        <f t="shared" si="19"/>
        <v>30002500000</v>
      </c>
      <c r="J304" s="6" t="s">
        <v>22</v>
      </c>
      <c r="K304" s="6">
        <f t="shared" si="20"/>
        <v>36548.5</v>
      </c>
      <c r="L304" s="10">
        <f t="shared" si="21"/>
        <v>18001.5</v>
      </c>
      <c r="M304" s="10">
        <f t="shared" si="22"/>
        <v>9900825000</v>
      </c>
      <c r="N304" s="10"/>
      <c r="O304" s="26"/>
    </row>
    <row r="305" spans="1:15" x14ac:dyDescent="0.3">
      <c r="A305" s="3">
        <v>45869</v>
      </c>
      <c r="B305" s="22" t="s">
        <v>45</v>
      </c>
      <c r="C305" s="25">
        <v>2025</v>
      </c>
      <c r="D305" s="3" t="s">
        <v>10</v>
      </c>
      <c r="E305" t="s">
        <v>4</v>
      </c>
      <c r="F305" t="s">
        <v>16</v>
      </c>
      <c r="G305" s="4">
        <v>342000</v>
      </c>
      <c r="H305" s="5">
        <v>48800</v>
      </c>
      <c r="I305" s="5">
        <f t="shared" si="19"/>
        <v>16689600000</v>
      </c>
      <c r="J305" s="6" t="s">
        <v>22</v>
      </c>
      <c r="K305" s="6">
        <f t="shared" si="20"/>
        <v>27798.334888000001</v>
      </c>
      <c r="L305" s="10">
        <f t="shared" si="21"/>
        <v>21001.665111999999</v>
      </c>
      <c r="M305" s="10">
        <f t="shared" si="22"/>
        <v>7182569468.3039999</v>
      </c>
      <c r="N305" s="10"/>
      <c r="O305" s="26"/>
    </row>
    <row r="306" spans="1:15" x14ac:dyDescent="0.3">
      <c r="A306" s="3">
        <v>45869</v>
      </c>
      <c r="B306" s="22" t="s">
        <v>45</v>
      </c>
      <c r="C306" s="25">
        <v>2025</v>
      </c>
      <c r="D306" s="3" t="s">
        <v>10</v>
      </c>
      <c r="E306" t="s">
        <v>5</v>
      </c>
      <c r="F306" t="s">
        <v>15</v>
      </c>
      <c r="G306" s="4">
        <v>340000</v>
      </c>
      <c r="H306" s="5">
        <v>12300</v>
      </c>
      <c r="I306" s="5">
        <f t="shared" si="19"/>
        <v>4182000000</v>
      </c>
      <c r="J306" s="6" t="s">
        <v>22</v>
      </c>
      <c r="K306" s="6">
        <f t="shared" si="20"/>
        <v>7995</v>
      </c>
      <c r="L306" s="10">
        <f t="shared" si="21"/>
        <v>4305</v>
      </c>
      <c r="M306" s="10">
        <f t="shared" si="22"/>
        <v>1463700000</v>
      </c>
      <c r="N306" s="10"/>
      <c r="O306" s="26"/>
    </row>
    <row r="307" spans="1:15" x14ac:dyDescent="0.3">
      <c r="A307" s="3">
        <v>45900</v>
      </c>
      <c r="B307" s="22" t="s">
        <v>46</v>
      </c>
      <c r="C307" s="25">
        <v>2025</v>
      </c>
      <c r="D307" s="3" t="s">
        <v>7</v>
      </c>
      <c r="E307" t="s">
        <v>2</v>
      </c>
      <c r="F307" t="s">
        <v>15</v>
      </c>
      <c r="G307" s="4">
        <v>47500</v>
      </c>
      <c r="H307" s="5">
        <v>56750</v>
      </c>
      <c r="I307" s="5">
        <f t="shared" si="19"/>
        <v>2695625000</v>
      </c>
      <c r="J307" s="6" t="s">
        <v>22</v>
      </c>
      <c r="K307" s="6">
        <f t="shared" si="20"/>
        <v>38306.25</v>
      </c>
      <c r="L307" s="10">
        <f t="shared" si="21"/>
        <v>18443.75</v>
      </c>
      <c r="M307" s="10">
        <f t="shared" si="22"/>
        <v>876078125</v>
      </c>
      <c r="N307" s="10"/>
      <c r="O307" s="26"/>
    </row>
    <row r="308" spans="1:15" x14ac:dyDescent="0.3">
      <c r="A308" s="3">
        <v>45900</v>
      </c>
      <c r="B308" s="22" t="s">
        <v>46</v>
      </c>
      <c r="C308" s="25">
        <v>2025</v>
      </c>
      <c r="D308" s="3" t="s">
        <v>7</v>
      </c>
      <c r="E308" t="s">
        <v>3</v>
      </c>
      <c r="F308" t="s">
        <v>15</v>
      </c>
      <c r="G308" s="4">
        <v>541500</v>
      </c>
      <c r="H308" s="5">
        <v>54550</v>
      </c>
      <c r="I308" s="5">
        <f t="shared" si="19"/>
        <v>29538825000</v>
      </c>
      <c r="J308" s="6" t="s">
        <v>22</v>
      </c>
      <c r="K308" s="6">
        <f t="shared" si="20"/>
        <v>36548.5</v>
      </c>
      <c r="L308" s="10">
        <f t="shared" si="21"/>
        <v>18001.5</v>
      </c>
      <c r="M308" s="10">
        <f t="shared" si="22"/>
        <v>9747812250</v>
      </c>
      <c r="N308" s="10"/>
      <c r="O308" s="26"/>
    </row>
    <row r="309" spans="1:15" x14ac:dyDescent="0.3">
      <c r="A309" s="3">
        <v>45900</v>
      </c>
      <c r="B309" s="22" t="s">
        <v>46</v>
      </c>
      <c r="C309" s="25">
        <v>2025</v>
      </c>
      <c r="D309" s="3" t="s">
        <v>7</v>
      </c>
      <c r="E309" t="s">
        <v>4</v>
      </c>
      <c r="F309" t="s">
        <v>16</v>
      </c>
      <c r="G309" s="4">
        <v>330000</v>
      </c>
      <c r="H309" s="5">
        <v>48800</v>
      </c>
      <c r="I309" s="5">
        <f t="shared" si="19"/>
        <v>16104000000</v>
      </c>
      <c r="J309" s="6" t="s">
        <v>22</v>
      </c>
      <c r="K309" s="6">
        <f t="shared" si="20"/>
        <v>27798.334888000001</v>
      </c>
      <c r="L309" s="10">
        <f t="shared" si="21"/>
        <v>21001.665111999999</v>
      </c>
      <c r="M309" s="10">
        <f t="shared" si="22"/>
        <v>6930549486.96</v>
      </c>
      <c r="N309" s="10"/>
      <c r="O309" s="26"/>
    </row>
    <row r="310" spans="1:15" x14ac:dyDescent="0.3">
      <c r="A310" s="3">
        <v>45900</v>
      </c>
      <c r="B310" s="22" t="s">
        <v>46</v>
      </c>
      <c r="C310" s="25">
        <v>2025</v>
      </c>
      <c r="D310" s="3" t="s">
        <v>7</v>
      </c>
      <c r="E310" t="s">
        <v>5</v>
      </c>
      <c r="F310" t="s">
        <v>15</v>
      </c>
      <c r="G310" s="4">
        <v>345000</v>
      </c>
      <c r="H310" s="5">
        <v>12300</v>
      </c>
      <c r="I310" s="5">
        <f t="shared" si="19"/>
        <v>4243500000</v>
      </c>
      <c r="J310" s="6" t="s">
        <v>22</v>
      </c>
      <c r="K310" s="6">
        <f t="shared" si="20"/>
        <v>7995</v>
      </c>
      <c r="L310" s="10">
        <f t="shared" si="21"/>
        <v>4305</v>
      </c>
      <c r="M310" s="10">
        <f t="shared" si="22"/>
        <v>1485225000</v>
      </c>
      <c r="N310" s="10"/>
      <c r="O310" s="26"/>
    </row>
    <row r="311" spans="1:15" x14ac:dyDescent="0.3">
      <c r="A311" s="3">
        <v>45900</v>
      </c>
      <c r="B311" s="22" t="s">
        <v>46</v>
      </c>
      <c r="C311" s="25">
        <v>2025</v>
      </c>
      <c r="D311" s="3" t="s">
        <v>8</v>
      </c>
      <c r="E311" t="s">
        <v>2</v>
      </c>
      <c r="F311" t="s">
        <v>15</v>
      </c>
      <c r="G311" s="4">
        <v>41500</v>
      </c>
      <c r="H311" s="5">
        <v>56750</v>
      </c>
      <c r="I311" s="5">
        <f t="shared" ref="I311:I361" si="23">H311*G311</f>
        <v>2355125000</v>
      </c>
      <c r="J311" s="6" t="s">
        <v>22</v>
      </c>
      <c r="K311" s="6">
        <f t="shared" si="20"/>
        <v>38306.25</v>
      </c>
      <c r="L311" s="10">
        <f t="shared" si="21"/>
        <v>18443.75</v>
      </c>
      <c r="M311" s="10">
        <f t="shared" si="22"/>
        <v>765415625</v>
      </c>
      <c r="N311" s="10"/>
      <c r="O311" s="26"/>
    </row>
    <row r="312" spans="1:15" x14ac:dyDescent="0.3">
      <c r="A312" s="3">
        <v>45900</v>
      </c>
      <c r="B312" s="22" t="s">
        <v>46</v>
      </c>
      <c r="C312" s="25">
        <v>2025</v>
      </c>
      <c r="D312" s="3" t="s">
        <v>8</v>
      </c>
      <c r="E312" t="s">
        <v>3</v>
      </c>
      <c r="F312" t="s">
        <v>15</v>
      </c>
      <c r="G312" s="4">
        <v>474000</v>
      </c>
      <c r="H312" s="5">
        <v>54550</v>
      </c>
      <c r="I312" s="5">
        <f t="shared" si="23"/>
        <v>25856700000</v>
      </c>
      <c r="J312" s="6" t="s">
        <v>22</v>
      </c>
      <c r="K312" s="6">
        <f t="shared" si="20"/>
        <v>36548.5</v>
      </c>
      <c r="L312" s="10">
        <f t="shared" si="21"/>
        <v>18001.5</v>
      </c>
      <c r="M312" s="10">
        <f t="shared" si="22"/>
        <v>8532711000</v>
      </c>
      <c r="N312" s="10"/>
      <c r="O312" s="26"/>
    </row>
    <row r="313" spans="1:15" x14ac:dyDescent="0.3">
      <c r="A313" s="3">
        <v>45900</v>
      </c>
      <c r="B313" s="22" t="s">
        <v>46</v>
      </c>
      <c r="C313" s="25">
        <v>2025</v>
      </c>
      <c r="D313" s="3" t="s">
        <v>8</v>
      </c>
      <c r="E313" t="s">
        <v>4</v>
      </c>
      <c r="F313" t="s">
        <v>16</v>
      </c>
      <c r="G313" s="4">
        <v>376900</v>
      </c>
      <c r="H313" s="5">
        <v>48800</v>
      </c>
      <c r="I313" s="5">
        <f t="shared" si="23"/>
        <v>18392720000</v>
      </c>
      <c r="J313" s="6" t="s">
        <v>22</v>
      </c>
      <c r="K313" s="6">
        <f t="shared" si="20"/>
        <v>27798.334888000001</v>
      </c>
      <c r="L313" s="10">
        <f t="shared" si="21"/>
        <v>21001.665111999999</v>
      </c>
      <c r="M313" s="10">
        <f t="shared" si="22"/>
        <v>7915527580.7127991</v>
      </c>
      <c r="N313" s="10"/>
      <c r="O313" s="26"/>
    </row>
    <row r="314" spans="1:15" x14ac:dyDescent="0.3">
      <c r="A314" s="3">
        <v>45900</v>
      </c>
      <c r="B314" s="22" t="s">
        <v>46</v>
      </c>
      <c r="C314" s="25">
        <v>2025</v>
      </c>
      <c r="D314" s="3" t="s">
        <v>8</v>
      </c>
      <c r="E314" t="s">
        <v>5</v>
      </c>
      <c r="F314" t="s">
        <v>15</v>
      </c>
      <c r="G314" s="4">
        <v>359000</v>
      </c>
      <c r="H314" s="5">
        <v>12300</v>
      </c>
      <c r="I314" s="5">
        <f t="shared" si="23"/>
        <v>4415700000</v>
      </c>
      <c r="J314" s="6" t="s">
        <v>22</v>
      </c>
      <c r="K314" s="6">
        <f t="shared" si="20"/>
        <v>7995</v>
      </c>
      <c r="L314" s="10">
        <f t="shared" si="21"/>
        <v>4305</v>
      </c>
      <c r="M314" s="10">
        <f t="shared" si="22"/>
        <v>1545495000</v>
      </c>
      <c r="N314" s="10"/>
      <c r="O314" s="26"/>
    </row>
    <row r="315" spans="1:15" x14ac:dyDescent="0.3">
      <c r="A315" s="3">
        <v>45900</v>
      </c>
      <c r="B315" s="22" t="s">
        <v>46</v>
      </c>
      <c r="C315" s="25">
        <v>2025</v>
      </c>
      <c r="D315" s="3" t="s">
        <v>9</v>
      </c>
      <c r="E315" t="s">
        <v>2</v>
      </c>
      <c r="F315" t="s">
        <v>15</v>
      </c>
      <c r="G315" s="4">
        <v>48000</v>
      </c>
      <c r="H315" s="5">
        <v>56750</v>
      </c>
      <c r="I315" s="5">
        <f t="shared" si="23"/>
        <v>2724000000</v>
      </c>
      <c r="J315" s="6" t="s">
        <v>22</v>
      </c>
      <c r="K315" s="6">
        <f t="shared" si="20"/>
        <v>38306.25</v>
      </c>
      <c r="L315" s="10">
        <f t="shared" si="21"/>
        <v>18443.75</v>
      </c>
      <c r="M315" s="10">
        <f t="shared" si="22"/>
        <v>885300000</v>
      </c>
      <c r="N315" s="10"/>
      <c r="O315" s="26"/>
    </row>
    <row r="316" spans="1:15" x14ac:dyDescent="0.3">
      <c r="A316" s="3">
        <v>45900</v>
      </c>
      <c r="B316" s="22" t="s">
        <v>46</v>
      </c>
      <c r="C316" s="25">
        <v>2025</v>
      </c>
      <c r="D316" s="3" t="s">
        <v>9</v>
      </c>
      <c r="E316" t="s">
        <v>3</v>
      </c>
      <c r="F316" t="s">
        <v>15</v>
      </c>
      <c r="G316" s="4">
        <v>475600</v>
      </c>
      <c r="H316" s="5">
        <v>54550</v>
      </c>
      <c r="I316" s="5">
        <f t="shared" si="23"/>
        <v>25943980000</v>
      </c>
      <c r="J316" s="6" t="s">
        <v>22</v>
      </c>
      <c r="K316" s="6">
        <f t="shared" si="20"/>
        <v>36548.5</v>
      </c>
      <c r="L316" s="10">
        <f t="shared" si="21"/>
        <v>18001.5</v>
      </c>
      <c r="M316" s="10">
        <f t="shared" si="22"/>
        <v>8561513400</v>
      </c>
      <c r="N316" s="10"/>
      <c r="O316" s="26"/>
    </row>
    <row r="317" spans="1:15" x14ac:dyDescent="0.3">
      <c r="A317" s="3">
        <v>45900</v>
      </c>
      <c r="B317" s="22" t="s">
        <v>46</v>
      </c>
      <c r="C317" s="25">
        <v>2025</v>
      </c>
      <c r="D317" s="3" t="s">
        <v>9</v>
      </c>
      <c r="E317" t="s">
        <v>4</v>
      </c>
      <c r="F317" t="s">
        <v>16</v>
      </c>
      <c r="G317" s="4">
        <v>388000</v>
      </c>
      <c r="H317" s="5">
        <v>48800</v>
      </c>
      <c r="I317" s="5">
        <f t="shared" si="23"/>
        <v>18934400000</v>
      </c>
      <c r="J317" s="6" t="s">
        <v>22</v>
      </c>
      <c r="K317" s="6">
        <f t="shared" si="20"/>
        <v>27798.334888000001</v>
      </c>
      <c r="L317" s="10">
        <f t="shared" si="21"/>
        <v>21001.665111999999</v>
      </c>
      <c r="M317" s="10">
        <f t="shared" si="22"/>
        <v>8148646063.4559994</v>
      </c>
      <c r="N317" s="10"/>
      <c r="O317" s="26"/>
    </row>
    <row r="318" spans="1:15" x14ac:dyDescent="0.3">
      <c r="A318" s="3">
        <v>45900</v>
      </c>
      <c r="B318" s="22" t="s">
        <v>46</v>
      </c>
      <c r="C318" s="25">
        <v>2025</v>
      </c>
      <c r="D318" s="3" t="s">
        <v>9</v>
      </c>
      <c r="E318" t="s">
        <v>5</v>
      </c>
      <c r="F318" t="s">
        <v>15</v>
      </c>
      <c r="G318" s="4">
        <v>379000</v>
      </c>
      <c r="H318" s="5">
        <v>12300</v>
      </c>
      <c r="I318" s="5">
        <f t="shared" si="23"/>
        <v>4661700000</v>
      </c>
      <c r="J318" s="6" t="s">
        <v>22</v>
      </c>
      <c r="K318" s="6">
        <f t="shared" si="20"/>
        <v>7995</v>
      </c>
      <c r="L318" s="10">
        <f t="shared" si="21"/>
        <v>4305</v>
      </c>
      <c r="M318" s="10">
        <f t="shared" si="22"/>
        <v>1631595000</v>
      </c>
      <c r="N318" s="10"/>
      <c r="O318" s="26"/>
    </row>
    <row r="319" spans="1:15" x14ac:dyDescent="0.3">
      <c r="A319" s="3">
        <v>45900</v>
      </c>
      <c r="B319" s="22" t="s">
        <v>46</v>
      </c>
      <c r="C319" s="25">
        <v>2025</v>
      </c>
      <c r="D319" s="3" t="s">
        <v>10</v>
      </c>
      <c r="E319" t="s">
        <v>2</v>
      </c>
      <c r="F319" t="s">
        <v>15</v>
      </c>
      <c r="G319" s="4">
        <v>57000</v>
      </c>
      <c r="H319" s="5">
        <v>56750</v>
      </c>
      <c r="I319" s="5">
        <f t="shared" si="23"/>
        <v>3234750000</v>
      </c>
      <c r="J319" s="6" t="s">
        <v>22</v>
      </c>
      <c r="K319" s="6">
        <f t="shared" si="20"/>
        <v>38306.25</v>
      </c>
      <c r="L319" s="10">
        <f t="shared" si="21"/>
        <v>18443.75</v>
      </c>
      <c r="M319" s="10">
        <f t="shared" si="22"/>
        <v>1051293750</v>
      </c>
      <c r="N319" s="10"/>
      <c r="O319" s="26"/>
    </row>
    <row r="320" spans="1:15" x14ac:dyDescent="0.3">
      <c r="A320" s="3">
        <v>45900</v>
      </c>
      <c r="B320" s="22" t="s">
        <v>46</v>
      </c>
      <c r="C320" s="25">
        <v>2025</v>
      </c>
      <c r="D320" s="3" t="s">
        <v>10</v>
      </c>
      <c r="E320" t="s">
        <v>3</v>
      </c>
      <c r="F320" t="s">
        <v>15</v>
      </c>
      <c r="G320" s="4">
        <v>536450</v>
      </c>
      <c r="H320" s="5">
        <v>54550</v>
      </c>
      <c r="I320" s="5">
        <f t="shared" si="23"/>
        <v>29263347500</v>
      </c>
      <c r="J320" s="6" t="s">
        <v>22</v>
      </c>
      <c r="K320" s="6">
        <f t="shared" si="20"/>
        <v>36548.5</v>
      </c>
      <c r="L320" s="10">
        <f t="shared" si="21"/>
        <v>18001.5</v>
      </c>
      <c r="M320" s="10">
        <f t="shared" si="22"/>
        <v>9656904675</v>
      </c>
      <c r="N320" s="10"/>
      <c r="O320" s="26"/>
    </row>
    <row r="321" spans="1:17" x14ac:dyDescent="0.3">
      <c r="A321" s="3">
        <v>45900</v>
      </c>
      <c r="B321" s="22" t="s">
        <v>46</v>
      </c>
      <c r="C321" s="25">
        <v>2025</v>
      </c>
      <c r="D321" s="3" t="s">
        <v>10</v>
      </c>
      <c r="E321" t="s">
        <v>4</v>
      </c>
      <c r="F321" t="s">
        <v>16</v>
      </c>
      <c r="G321" s="4">
        <v>352000</v>
      </c>
      <c r="H321" s="5">
        <v>48800</v>
      </c>
      <c r="I321" s="5">
        <f t="shared" si="23"/>
        <v>17177600000</v>
      </c>
      <c r="J321" s="6" t="s">
        <v>22</v>
      </c>
      <c r="K321" s="6">
        <f t="shared" si="20"/>
        <v>27798.334888000001</v>
      </c>
      <c r="L321" s="10">
        <f t="shared" si="21"/>
        <v>21001.665111999999</v>
      </c>
      <c r="M321" s="10">
        <f t="shared" si="22"/>
        <v>7392586119.4239998</v>
      </c>
      <c r="N321" s="10"/>
      <c r="O321" s="26"/>
    </row>
    <row r="322" spans="1:17" x14ac:dyDescent="0.3">
      <c r="A322" s="3">
        <v>45900</v>
      </c>
      <c r="B322" s="22" t="s">
        <v>46</v>
      </c>
      <c r="C322" s="25">
        <v>2025</v>
      </c>
      <c r="D322" s="3" t="s">
        <v>10</v>
      </c>
      <c r="E322" t="s">
        <v>5</v>
      </c>
      <c r="F322" t="s">
        <v>15</v>
      </c>
      <c r="G322" s="4">
        <v>352500</v>
      </c>
      <c r="H322" s="5">
        <v>12300</v>
      </c>
      <c r="I322" s="5">
        <f t="shared" si="23"/>
        <v>4335750000</v>
      </c>
      <c r="J322" s="6" t="s">
        <v>22</v>
      </c>
      <c r="K322" s="6">
        <f t="shared" si="20"/>
        <v>7995</v>
      </c>
      <c r="L322" s="10">
        <f t="shared" si="21"/>
        <v>4305</v>
      </c>
      <c r="M322" s="10">
        <f t="shared" si="22"/>
        <v>1517512500</v>
      </c>
      <c r="N322" s="10"/>
      <c r="O322" s="26"/>
    </row>
    <row r="323" spans="1:17" x14ac:dyDescent="0.3">
      <c r="A323" s="3">
        <v>45930</v>
      </c>
      <c r="B323" s="22" t="s">
        <v>47</v>
      </c>
      <c r="C323" s="25">
        <v>2025</v>
      </c>
      <c r="D323" s="3" t="s">
        <v>7</v>
      </c>
      <c r="E323" t="s">
        <v>2</v>
      </c>
      <c r="F323" t="s">
        <v>15</v>
      </c>
      <c r="G323" s="4">
        <v>43000</v>
      </c>
      <c r="H323" s="5">
        <v>56750</v>
      </c>
      <c r="I323" s="5">
        <f t="shared" si="23"/>
        <v>2440250000</v>
      </c>
      <c r="J323" s="6" t="s">
        <v>22</v>
      </c>
      <c r="K323" s="6">
        <f t="shared" si="20"/>
        <v>38306.25</v>
      </c>
      <c r="L323" s="10">
        <f t="shared" si="21"/>
        <v>18443.75</v>
      </c>
      <c r="M323" s="10">
        <f t="shared" si="22"/>
        <v>793081250</v>
      </c>
      <c r="N323" s="10"/>
      <c r="O323" s="26"/>
    </row>
    <row r="324" spans="1:17" x14ac:dyDescent="0.3">
      <c r="A324" s="3">
        <v>45930</v>
      </c>
      <c r="B324" s="22" t="s">
        <v>47</v>
      </c>
      <c r="C324" s="25">
        <v>2025</v>
      </c>
      <c r="D324" s="3" t="s">
        <v>7</v>
      </c>
      <c r="E324" t="s">
        <v>3</v>
      </c>
      <c r="F324" t="s">
        <v>15</v>
      </c>
      <c r="G324" s="4">
        <v>548500</v>
      </c>
      <c r="H324" s="5">
        <v>54550</v>
      </c>
      <c r="I324" s="5">
        <f t="shared" si="23"/>
        <v>29920675000</v>
      </c>
      <c r="J324" s="6" t="s">
        <v>22</v>
      </c>
      <c r="K324" s="6">
        <f t="shared" ref="K324:K386" si="24">IF(E324="Flour",H324*0.56963801,IF(E324="Pasta",H324*0.65,IF(E324="Sugar",H324*0.67,IF(E324="Rice",H324*0.675))))</f>
        <v>36548.5</v>
      </c>
      <c r="L324" s="10">
        <f t="shared" ref="L324:L386" si="25">H324-K324</f>
        <v>18001.5</v>
      </c>
      <c r="M324" s="10">
        <f t="shared" ref="M324:M386" si="26">(G324*L324)</f>
        <v>9873822750</v>
      </c>
      <c r="N324" s="10"/>
      <c r="O324" s="26"/>
    </row>
    <row r="325" spans="1:17" x14ac:dyDescent="0.3">
      <c r="A325" s="3">
        <v>45930</v>
      </c>
      <c r="B325" s="22" t="s">
        <v>47</v>
      </c>
      <c r="C325" s="25">
        <v>2025</v>
      </c>
      <c r="D325" s="3" t="s">
        <v>7</v>
      </c>
      <c r="E325" t="s">
        <v>4</v>
      </c>
      <c r="F325" t="s">
        <v>16</v>
      </c>
      <c r="G325" s="4">
        <v>358000</v>
      </c>
      <c r="H325" s="5">
        <v>48800</v>
      </c>
      <c r="I325" s="5">
        <f t="shared" si="23"/>
        <v>17470400000</v>
      </c>
      <c r="J325" s="6" t="s">
        <v>22</v>
      </c>
      <c r="K325" s="6">
        <f t="shared" si="24"/>
        <v>27798.334888000001</v>
      </c>
      <c r="L325" s="10">
        <f t="shared" si="25"/>
        <v>21001.665111999999</v>
      </c>
      <c r="M325" s="10">
        <f t="shared" si="26"/>
        <v>7518596110.0959997</v>
      </c>
      <c r="N325" s="10"/>
      <c r="O325" s="26"/>
    </row>
    <row r="326" spans="1:17" x14ac:dyDescent="0.3">
      <c r="A326" s="3">
        <v>45930</v>
      </c>
      <c r="B326" s="22" t="s">
        <v>47</v>
      </c>
      <c r="C326" s="25">
        <v>2025</v>
      </c>
      <c r="D326" s="3" t="s">
        <v>7</v>
      </c>
      <c r="E326" t="s">
        <v>5</v>
      </c>
      <c r="F326" t="s">
        <v>15</v>
      </c>
      <c r="G326" s="4">
        <v>345000</v>
      </c>
      <c r="H326" s="5">
        <v>12300</v>
      </c>
      <c r="I326" s="5">
        <f t="shared" si="23"/>
        <v>4243500000</v>
      </c>
      <c r="J326" s="6" t="s">
        <v>22</v>
      </c>
      <c r="K326" s="6">
        <f t="shared" si="24"/>
        <v>7995</v>
      </c>
      <c r="L326" s="10">
        <f t="shared" si="25"/>
        <v>4305</v>
      </c>
      <c r="M326" s="10">
        <f t="shared" si="26"/>
        <v>1485225000</v>
      </c>
      <c r="N326" s="10"/>
      <c r="O326" s="26"/>
    </row>
    <row r="327" spans="1:17" x14ac:dyDescent="0.3">
      <c r="A327" s="3">
        <v>45930</v>
      </c>
      <c r="B327" s="22" t="s">
        <v>47</v>
      </c>
      <c r="C327" s="25">
        <v>2025</v>
      </c>
      <c r="D327" s="3" t="s">
        <v>8</v>
      </c>
      <c r="E327" t="s">
        <v>2</v>
      </c>
      <c r="F327" t="s">
        <v>15</v>
      </c>
      <c r="G327" s="4">
        <v>41000</v>
      </c>
      <c r="H327" s="5">
        <v>56750</v>
      </c>
      <c r="I327" s="5">
        <f t="shared" si="23"/>
        <v>2326750000</v>
      </c>
      <c r="J327" s="6" t="s">
        <v>22</v>
      </c>
      <c r="K327" s="6">
        <f t="shared" si="24"/>
        <v>38306.25</v>
      </c>
      <c r="L327" s="10">
        <f t="shared" si="25"/>
        <v>18443.75</v>
      </c>
      <c r="M327" s="10">
        <f t="shared" si="26"/>
        <v>756193750</v>
      </c>
      <c r="N327" s="10"/>
      <c r="O327" s="26"/>
    </row>
    <row r="328" spans="1:17" x14ac:dyDescent="0.3">
      <c r="A328" s="3">
        <v>45930</v>
      </c>
      <c r="B328" s="22" t="s">
        <v>47</v>
      </c>
      <c r="C328" s="25">
        <v>2025</v>
      </c>
      <c r="D328" s="3" t="s">
        <v>8</v>
      </c>
      <c r="E328" t="s">
        <v>3</v>
      </c>
      <c r="F328" t="s">
        <v>15</v>
      </c>
      <c r="G328" s="4">
        <v>481000</v>
      </c>
      <c r="H328" s="5">
        <v>54550</v>
      </c>
      <c r="I328" s="5">
        <f t="shared" si="23"/>
        <v>26238550000</v>
      </c>
      <c r="J328" s="6" t="s">
        <v>22</v>
      </c>
      <c r="K328" s="6">
        <f t="shared" si="24"/>
        <v>36548.5</v>
      </c>
      <c r="L328" s="10">
        <f t="shared" si="25"/>
        <v>18001.5</v>
      </c>
      <c r="M328" s="10">
        <f t="shared" si="26"/>
        <v>8658721500</v>
      </c>
      <c r="N328" s="10"/>
      <c r="O328" s="26"/>
    </row>
    <row r="329" spans="1:17" x14ac:dyDescent="0.3">
      <c r="A329" s="3">
        <v>45930</v>
      </c>
      <c r="B329" s="22" t="s">
        <v>47</v>
      </c>
      <c r="C329" s="25">
        <v>2025</v>
      </c>
      <c r="D329" s="3" t="s">
        <v>8</v>
      </c>
      <c r="E329" t="s">
        <v>4</v>
      </c>
      <c r="F329" t="s">
        <v>16</v>
      </c>
      <c r="G329" s="4">
        <v>395000</v>
      </c>
      <c r="H329" s="5">
        <v>48800</v>
      </c>
      <c r="I329" s="5">
        <f t="shared" si="23"/>
        <v>19276000000</v>
      </c>
      <c r="J329" s="6" t="s">
        <v>22</v>
      </c>
      <c r="K329" s="6">
        <f t="shared" si="24"/>
        <v>27798.334888000001</v>
      </c>
      <c r="L329" s="10">
        <f t="shared" si="25"/>
        <v>21001.665111999999</v>
      </c>
      <c r="M329" s="10">
        <f t="shared" si="26"/>
        <v>8295657719.2399998</v>
      </c>
      <c r="N329" s="10"/>
      <c r="O329" s="26"/>
    </row>
    <row r="330" spans="1:17" x14ac:dyDescent="0.3">
      <c r="A330" s="3">
        <v>45930</v>
      </c>
      <c r="B330" s="22" t="s">
        <v>47</v>
      </c>
      <c r="C330" s="25">
        <v>2025</v>
      </c>
      <c r="D330" s="3" t="s">
        <v>8</v>
      </c>
      <c r="E330" t="s">
        <v>5</v>
      </c>
      <c r="F330" t="s">
        <v>15</v>
      </c>
      <c r="G330" s="4">
        <v>345000</v>
      </c>
      <c r="H330" s="5">
        <v>12300</v>
      </c>
      <c r="I330" s="5">
        <f t="shared" si="23"/>
        <v>4243500000</v>
      </c>
      <c r="J330" s="6" t="s">
        <v>22</v>
      </c>
      <c r="K330" s="6">
        <f t="shared" si="24"/>
        <v>7995</v>
      </c>
      <c r="L330" s="10">
        <f t="shared" si="25"/>
        <v>4305</v>
      </c>
      <c r="M330" s="10">
        <f t="shared" si="26"/>
        <v>1485225000</v>
      </c>
      <c r="N330" s="10"/>
      <c r="O330" s="26"/>
    </row>
    <row r="331" spans="1:17" x14ac:dyDescent="0.3">
      <c r="A331" s="3">
        <v>45930</v>
      </c>
      <c r="B331" s="22" t="s">
        <v>47</v>
      </c>
      <c r="C331" s="25">
        <v>2025</v>
      </c>
      <c r="D331" s="3" t="s">
        <v>9</v>
      </c>
      <c r="E331" t="s">
        <v>2</v>
      </c>
      <c r="F331" t="s">
        <v>15</v>
      </c>
      <c r="G331" s="4">
        <v>44900</v>
      </c>
      <c r="H331" s="5">
        <v>56750</v>
      </c>
      <c r="I331" s="5">
        <f t="shared" si="23"/>
        <v>2548075000</v>
      </c>
      <c r="J331" s="6" t="s">
        <v>22</v>
      </c>
      <c r="K331" s="6">
        <f t="shared" si="24"/>
        <v>38306.25</v>
      </c>
      <c r="L331" s="10">
        <f t="shared" si="25"/>
        <v>18443.75</v>
      </c>
      <c r="M331" s="10">
        <f t="shared" si="26"/>
        <v>828124375</v>
      </c>
      <c r="N331" s="10"/>
      <c r="O331" s="26"/>
    </row>
    <row r="332" spans="1:17" x14ac:dyDescent="0.3">
      <c r="A332" s="3">
        <v>45930</v>
      </c>
      <c r="B332" s="22" t="s">
        <v>47</v>
      </c>
      <c r="C332" s="25">
        <v>2025</v>
      </c>
      <c r="D332" s="3" t="s">
        <v>9</v>
      </c>
      <c r="E332" t="s">
        <v>3</v>
      </c>
      <c r="F332" t="s">
        <v>15</v>
      </c>
      <c r="G332" s="4">
        <v>453000</v>
      </c>
      <c r="H332" s="5">
        <v>54550</v>
      </c>
      <c r="I332" s="5">
        <f t="shared" si="23"/>
        <v>24711150000</v>
      </c>
      <c r="J332" s="6" t="s">
        <v>22</v>
      </c>
      <c r="K332" s="6">
        <f t="shared" si="24"/>
        <v>36548.5</v>
      </c>
      <c r="L332" s="10">
        <f t="shared" si="25"/>
        <v>18001.5</v>
      </c>
      <c r="M332" s="10">
        <f t="shared" si="26"/>
        <v>8154679500</v>
      </c>
      <c r="N332" s="10"/>
      <c r="O332" s="26"/>
    </row>
    <row r="333" spans="1:17" x14ac:dyDescent="0.3">
      <c r="A333" s="3">
        <v>45930</v>
      </c>
      <c r="B333" s="22" t="s">
        <v>47</v>
      </c>
      <c r="C333" s="25">
        <v>2025</v>
      </c>
      <c r="D333" s="3" t="s">
        <v>9</v>
      </c>
      <c r="E333" t="s">
        <v>4</v>
      </c>
      <c r="F333" t="s">
        <v>16</v>
      </c>
      <c r="G333" s="4">
        <v>344000</v>
      </c>
      <c r="H333" s="5">
        <v>48800</v>
      </c>
      <c r="I333" s="5">
        <f t="shared" si="23"/>
        <v>16787200000</v>
      </c>
      <c r="J333" s="6" t="s">
        <v>22</v>
      </c>
      <c r="K333" s="6">
        <f t="shared" si="24"/>
        <v>27798.334888000001</v>
      </c>
      <c r="L333" s="10">
        <f t="shared" si="25"/>
        <v>21001.665111999999</v>
      </c>
      <c r="M333" s="10">
        <f t="shared" si="26"/>
        <v>7224572798.5279999</v>
      </c>
      <c r="N333" s="10"/>
      <c r="O333" s="26"/>
    </row>
    <row r="334" spans="1:17" x14ac:dyDescent="0.3">
      <c r="A334" s="3">
        <v>45930</v>
      </c>
      <c r="B334" s="22" t="s">
        <v>47</v>
      </c>
      <c r="C334" s="25">
        <v>2025</v>
      </c>
      <c r="D334" s="3" t="s">
        <v>9</v>
      </c>
      <c r="E334" t="s">
        <v>5</v>
      </c>
      <c r="F334" t="s">
        <v>15</v>
      </c>
      <c r="G334" s="4">
        <v>424100</v>
      </c>
      <c r="H334" s="5">
        <v>12300</v>
      </c>
      <c r="I334" s="5">
        <f t="shared" si="23"/>
        <v>5216430000</v>
      </c>
      <c r="J334" s="6" t="s">
        <v>22</v>
      </c>
      <c r="K334" s="6">
        <f t="shared" si="24"/>
        <v>7995</v>
      </c>
      <c r="L334" s="10">
        <f t="shared" si="25"/>
        <v>4305</v>
      </c>
      <c r="M334" s="10">
        <f t="shared" si="26"/>
        <v>1825750500</v>
      </c>
      <c r="N334" s="10"/>
      <c r="O334" s="26"/>
      <c r="P334" s="7" t="s">
        <v>3</v>
      </c>
      <c r="Q334" s="6">
        <f>SUM(I292,I296,I300,I304,I308,I312,I316,I320,I324,I328,I332,I336)</f>
        <v>331393977500</v>
      </c>
    </row>
    <row r="335" spans="1:17" x14ac:dyDescent="0.3">
      <c r="A335" s="3">
        <v>45930</v>
      </c>
      <c r="B335" s="22" t="s">
        <v>47</v>
      </c>
      <c r="C335" s="25">
        <v>2025</v>
      </c>
      <c r="D335" s="3" t="s">
        <v>10</v>
      </c>
      <c r="E335" t="s">
        <v>2</v>
      </c>
      <c r="F335" t="s">
        <v>15</v>
      </c>
      <c r="G335" s="4">
        <v>60300</v>
      </c>
      <c r="H335" s="5">
        <v>56750</v>
      </c>
      <c r="I335" s="5">
        <f t="shared" si="23"/>
        <v>3422025000</v>
      </c>
      <c r="J335" s="6" t="s">
        <v>22</v>
      </c>
      <c r="K335" s="6">
        <f t="shared" si="24"/>
        <v>38306.25</v>
      </c>
      <c r="L335" s="10">
        <f t="shared" si="25"/>
        <v>18443.75</v>
      </c>
      <c r="M335" s="10">
        <f t="shared" si="26"/>
        <v>1112158125</v>
      </c>
      <c r="N335" s="10"/>
      <c r="O335" s="26"/>
      <c r="P335" s="7" t="s">
        <v>36</v>
      </c>
      <c r="Q335" s="6">
        <f>SUM(I291,I295,I299,I303,I307,I311,I315,I319,I323,I327,I331,I335)</f>
        <v>33601675000</v>
      </c>
    </row>
    <row r="336" spans="1:17" x14ac:dyDescent="0.3">
      <c r="A336" s="3">
        <v>45930</v>
      </c>
      <c r="B336" s="22" t="s">
        <v>47</v>
      </c>
      <c r="C336" s="25">
        <v>2025</v>
      </c>
      <c r="D336" s="3" t="s">
        <v>10</v>
      </c>
      <c r="E336" t="s">
        <v>3</v>
      </c>
      <c r="F336" t="s">
        <v>15</v>
      </c>
      <c r="G336" s="4">
        <v>514000</v>
      </c>
      <c r="H336" s="5">
        <v>54550</v>
      </c>
      <c r="I336" s="5">
        <f t="shared" si="23"/>
        <v>28038700000</v>
      </c>
      <c r="J336" s="6" t="s">
        <v>22</v>
      </c>
      <c r="K336" s="6">
        <f t="shared" si="24"/>
        <v>36548.5</v>
      </c>
      <c r="L336" s="10">
        <f t="shared" si="25"/>
        <v>18001.5</v>
      </c>
      <c r="M336" s="10">
        <f t="shared" si="26"/>
        <v>9252771000</v>
      </c>
      <c r="N336" s="10"/>
      <c r="O336" s="26"/>
      <c r="P336" s="7" t="s">
        <v>4</v>
      </c>
      <c r="Q336" s="6">
        <f>SUM(I293,I297,I301,I305,I309,I313,I317,I321,I325,I329,I333,I337)</f>
        <v>213299920000</v>
      </c>
    </row>
    <row r="337" spans="1:17" x14ac:dyDescent="0.3">
      <c r="A337" s="3">
        <v>45930</v>
      </c>
      <c r="B337" s="22" t="s">
        <v>47</v>
      </c>
      <c r="C337" s="25">
        <v>2025</v>
      </c>
      <c r="D337" s="3" t="s">
        <v>10</v>
      </c>
      <c r="E337" t="s">
        <v>4</v>
      </c>
      <c r="F337" t="s">
        <v>16</v>
      </c>
      <c r="G337" s="4">
        <v>386000</v>
      </c>
      <c r="H337" s="5">
        <v>48800</v>
      </c>
      <c r="I337" s="5">
        <f t="shared" si="23"/>
        <v>18836800000</v>
      </c>
      <c r="J337" s="6" t="s">
        <v>22</v>
      </c>
      <c r="K337" s="6">
        <f t="shared" si="24"/>
        <v>27798.334888000001</v>
      </c>
      <c r="L337" s="10">
        <f t="shared" si="25"/>
        <v>21001.665111999999</v>
      </c>
      <c r="M337" s="10">
        <f t="shared" si="26"/>
        <v>8106642733.2319994</v>
      </c>
      <c r="N337" s="10"/>
      <c r="O337" s="26"/>
      <c r="P337" s="7" t="s">
        <v>33</v>
      </c>
      <c r="Q337" s="6">
        <f>SUM(I294,I298,I302,I306,I310,I314,I318,I322,I326,I330,I334,I338)</f>
        <v>53598480000</v>
      </c>
    </row>
    <row r="338" spans="1:17" x14ac:dyDescent="0.3">
      <c r="A338" s="3">
        <v>45930</v>
      </c>
      <c r="B338" s="22" t="s">
        <v>47</v>
      </c>
      <c r="C338" s="25">
        <v>2025</v>
      </c>
      <c r="D338" s="3" t="s">
        <v>10</v>
      </c>
      <c r="E338" t="s">
        <v>5</v>
      </c>
      <c r="F338" t="s">
        <v>15</v>
      </c>
      <c r="G338" s="4">
        <v>396000</v>
      </c>
      <c r="H338" s="5">
        <v>12300</v>
      </c>
      <c r="I338" s="5">
        <f t="shared" si="23"/>
        <v>4870800000</v>
      </c>
      <c r="J338" s="6" t="s">
        <v>22</v>
      </c>
      <c r="K338" s="6">
        <f t="shared" si="24"/>
        <v>7995</v>
      </c>
      <c r="L338" s="10">
        <f t="shared" si="25"/>
        <v>4305</v>
      </c>
      <c r="M338" s="10">
        <f t="shared" si="26"/>
        <v>1704780000</v>
      </c>
      <c r="N338" s="10"/>
      <c r="O338" s="26"/>
      <c r="P338" s="7" t="s">
        <v>25</v>
      </c>
      <c r="Q338" s="6">
        <f>SUM(I291:I338)</f>
        <v>631894052500</v>
      </c>
    </row>
    <row r="339" spans="1:17" x14ac:dyDescent="0.3">
      <c r="A339" s="3">
        <v>45961</v>
      </c>
      <c r="B339" s="22" t="s">
        <v>48</v>
      </c>
      <c r="C339" s="25">
        <v>2025</v>
      </c>
      <c r="D339" s="3" t="s">
        <v>7</v>
      </c>
      <c r="E339" t="s">
        <v>2</v>
      </c>
      <c r="F339" t="s">
        <v>15</v>
      </c>
      <c r="G339" s="4">
        <v>36600</v>
      </c>
      <c r="H339" s="5">
        <v>56750</v>
      </c>
      <c r="I339" s="5">
        <f t="shared" si="23"/>
        <v>2077050000</v>
      </c>
      <c r="J339" s="6" t="s">
        <v>23</v>
      </c>
      <c r="K339" s="6">
        <f t="shared" si="24"/>
        <v>38306.25</v>
      </c>
      <c r="L339" s="10">
        <f t="shared" si="25"/>
        <v>18443.75</v>
      </c>
      <c r="M339" s="10">
        <f t="shared" si="26"/>
        <v>675041250</v>
      </c>
      <c r="N339" s="10"/>
      <c r="O339" s="26"/>
    </row>
    <row r="340" spans="1:17" x14ac:dyDescent="0.3">
      <c r="A340" s="3">
        <v>45961</v>
      </c>
      <c r="B340" s="22" t="s">
        <v>48</v>
      </c>
      <c r="C340" s="25">
        <v>2025</v>
      </c>
      <c r="D340" s="3" t="s">
        <v>7</v>
      </c>
      <c r="E340" t="s">
        <v>3</v>
      </c>
      <c r="F340" t="s">
        <v>15</v>
      </c>
      <c r="G340" s="4">
        <v>42000</v>
      </c>
      <c r="H340" s="5">
        <v>54550</v>
      </c>
      <c r="I340" s="5">
        <f t="shared" si="23"/>
        <v>2291100000</v>
      </c>
      <c r="J340" s="6" t="s">
        <v>23</v>
      </c>
      <c r="K340" s="6">
        <f t="shared" si="24"/>
        <v>36548.5</v>
      </c>
      <c r="L340" s="10">
        <f t="shared" si="25"/>
        <v>18001.5</v>
      </c>
      <c r="M340" s="10">
        <f t="shared" si="26"/>
        <v>756063000</v>
      </c>
      <c r="N340" s="10"/>
      <c r="O340" s="26"/>
    </row>
    <row r="341" spans="1:17" x14ac:dyDescent="0.3">
      <c r="A341" s="3">
        <v>45961</v>
      </c>
      <c r="B341" s="22" t="s">
        <v>48</v>
      </c>
      <c r="C341" s="25">
        <v>2025</v>
      </c>
      <c r="D341" s="3" t="s">
        <v>7</v>
      </c>
      <c r="E341" t="s">
        <v>4</v>
      </c>
      <c r="F341" t="s">
        <v>16</v>
      </c>
      <c r="G341" s="4">
        <v>251000</v>
      </c>
      <c r="H341" s="5">
        <v>48800</v>
      </c>
      <c r="I341" s="5">
        <f t="shared" si="23"/>
        <v>12248800000</v>
      </c>
      <c r="J341" s="6" t="s">
        <v>23</v>
      </c>
      <c r="K341" s="6">
        <f t="shared" si="24"/>
        <v>27798.334888000001</v>
      </c>
      <c r="L341" s="10">
        <f t="shared" si="25"/>
        <v>21001.665111999999</v>
      </c>
      <c r="M341" s="10">
        <f t="shared" si="26"/>
        <v>5271417943.1119995</v>
      </c>
      <c r="N341" s="10"/>
      <c r="O341" s="26"/>
    </row>
    <row r="342" spans="1:17" x14ac:dyDescent="0.3">
      <c r="A342" s="3">
        <v>45961</v>
      </c>
      <c r="B342" s="22" t="s">
        <v>48</v>
      </c>
      <c r="C342" s="25">
        <v>2025</v>
      </c>
      <c r="D342" s="3" t="s">
        <v>7</v>
      </c>
      <c r="E342" t="s">
        <v>5</v>
      </c>
      <c r="F342" t="s">
        <v>15</v>
      </c>
      <c r="G342" s="4">
        <v>345000</v>
      </c>
      <c r="H342" s="5">
        <v>12300</v>
      </c>
      <c r="I342" s="5">
        <f t="shared" si="23"/>
        <v>4243500000</v>
      </c>
      <c r="J342" s="6" t="s">
        <v>23</v>
      </c>
      <c r="K342" s="6">
        <f t="shared" si="24"/>
        <v>7995</v>
      </c>
      <c r="L342" s="10">
        <f t="shared" si="25"/>
        <v>4305</v>
      </c>
      <c r="M342" s="10">
        <f t="shared" si="26"/>
        <v>1485225000</v>
      </c>
      <c r="N342" s="10"/>
      <c r="O342" s="26"/>
    </row>
    <row r="343" spans="1:17" x14ac:dyDescent="0.3">
      <c r="A343" s="3">
        <v>45961</v>
      </c>
      <c r="B343" s="22" t="s">
        <v>48</v>
      </c>
      <c r="C343" s="25">
        <v>2025</v>
      </c>
      <c r="D343" s="3" t="s">
        <v>8</v>
      </c>
      <c r="E343" t="s">
        <v>2</v>
      </c>
      <c r="F343" t="s">
        <v>15</v>
      </c>
      <c r="G343" s="4">
        <v>35000</v>
      </c>
      <c r="H343" s="5">
        <v>56750</v>
      </c>
      <c r="I343" s="5">
        <f t="shared" si="23"/>
        <v>1986250000</v>
      </c>
      <c r="J343" s="6" t="s">
        <v>23</v>
      </c>
      <c r="K343" s="6">
        <f t="shared" si="24"/>
        <v>38306.25</v>
      </c>
      <c r="L343" s="10">
        <f t="shared" si="25"/>
        <v>18443.75</v>
      </c>
      <c r="M343" s="10">
        <f t="shared" si="26"/>
        <v>645531250</v>
      </c>
      <c r="N343" s="10"/>
      <c r="O343" s="26"/>
    </row>
    <row r="344" spans="1:17" x14ac:dyDescent="0.3">
      <c r="A344" s="3">
        <v>45961</v>
      </c>
      <c r="B344" s="22" t="s">
        <v>48</v>
      </c>
      <c r="C344" s="25">
        <v>2025</v>
      </c>
      <c r="D344" s="3" t="s">
        <v>8</v>
      </c>
      <c r="E344" t="s">
        <v>3</v>
      </c>
      <c r="F344" t="s">
        <v>15</v>
      </c>
      <c r="G344" s="4">
        <v>38000</v>
      </c>
      <c r="H344" s="5">
        <v>54550</v>
      </c>
      <c r="I344" s="5">
        <f t="shared" si="23"/>
        <v>2072900000</v>
      </c>
      <c r="J344" s="6" t="s">
        <v>23</v>
      </c>
      <c r="K344" s="6">
        <f t="shared" si="24"/>
        <v>36548.5</v>
      </c>
      <c r="L344" s="10">
        <f t="shared" si="25"/>
        <v>18001.5</v>
      </c>
      <c r="M344" s="10">
        <f t="shared" si="26"/>
        <v>684057000</v>
      </c>
      <c r="N344" s="10"/>
      <c r="O344" s="26"/>
    </row>
    <row r="345" spans="1:17" x14ac:dyDescent="0.3">
      <c r="A345" s="3">
        <v>45961</v>
      </c>
      <c r="B345" s="22" t="s">
        <v>48</v>
      </c>
      <c r="C345" s="25">
        <v>2025</v>
      </c>
      <c r="D345" s="3" t="s">
        <v>8</v>
      </c>
      <c r="E345" t="s">
        <v>4</v>
      </c>
      <c r="F345" t="s">
        <v>16</v>
      </c>
      <c r="G345" s="4">
        <v>260000</v>
      </c>
      <c r="H345" s="5">
        <v>48800</v>
      </c>
      <c r="I345" s="5">
        <f t="shared" si="23"/>
        <v>12688000000</v>
      </c>
      <c r="J345" s="6" t="s">
        <v>23</v>
      </c>
      <c r="K345" s="6">
        <f t="shared" si="24"/>
        <v>27798.334888000001</v>
      </c>
      <c r="L345" s="10">
        <f t="shared" si="25"/>
        <v>21001.665111999999</v>
      </c>
      <c r="M345" s="10">
        <f t="shared" si="26"/>
        <v>5460432929.1199999</v>
      </c>
      <c r="N345" s="10"/>
      <c r="O345" s="26"/>
    </row>
    <row r="346" spans="1:17" x14ac:dyDescent="0.3">
      <c r="A346" s="3">
        <v>45961</v>
      </c>
      <c r="B346" s="22" t="s">
        <v>48</v>
      </c>
      <c r="C346" s="25">
        <v>2025</v>
      </c>
      <c r="D346" s="3" t="s">
        <v>8</v>
      </c>
      <c r="E346" t="s">
        <v>5</v>
      </c>
      <c r="F346" t="s">
        <v>15</v>
      </c>
      <c r="G346" s="4">
        <v>365000</v>
      </c>
      <c r="H346" s="5">
        <v>12300</v>
      </c>
      <c r="I346" s="5">
        <f t="shared" si="23"/>
        <v>4489500000</v>
      </c>
      <c r="J346" s="6" t="s">
        <v>23</v>
      </c>
      <c r="K346" s="6">
        <f t="shared" si="24"/>
        <v>7995</v>
      </c>
      <c r="L346" s="10">
        <f t="shared" si="25"/>
        <v>4305</v>
      </c>
      <c r="M346" s="10">
        <f t="shared" si="26"/>
        <v>1571325000</v>
      </c>
      <c r="N346" s="10"/>
      <c r="O346" s="26"/>
    </row>
    <row r="347" spans="1:17" x14ac:dyDescent="0.3">
      <c r="A347" s="3">
        <v>45961</v>
      </c>
      <c r="B347" s="22" t="s">
        <v>48</v>
      </c>
      <c r="C347" s="25">
        <v>2025</v>
      </c>
      <c r="D347" s="3" t="s">
        <v>9</v>
      </c>
      <c r="E347" t="s">
        <v>2</v>
      </c>
      <c r="F347" t="s">
        <v>15</v>
      </c>
      <c r="G347" s="4">
        <v>35700</v>
      </c>
      <c r="H347" s="5">
        <v>56750</v>
      </c>
      <c r="I347" s="5">
        <f t="shared" si="23"/>
        <v>2025975000</v>
      </c>
      <c r="J347" s="6" t="s">
        <v>23</v>
      </c>
      <c r="K347" s="6">
        <f t="shared" si="24"/>
        <v>38306.25</v>
      </c>
      <c r="L347" s="10">
        <f t="shared" si="25"/>
        <v>18443.75</v>
      </c>
      <c r="M347" s="10">
        <f t="shared" si="26"/>
        <v>658441875</v>
      </c>
      <c r="N347" s="10"/>
      <c r="O347" s="26"/>
    </row>
    <row r="348" spans="1:17" x14ac:dyDescent="0.3">
      <c r="A348" s="3">
        <v>45961</v>
      </c>
      <c r="B348" s="22" t="s">
        <v>48</v>
      </c>
      <c r="C348" s="25">
        <v>2025</v>
      </c>
      <c r="D348" s="3" t="s">
        <v>9</v>
      </c>
      <c r="E348" t="s">
        <v>3</v>
      </c>
      <c r="F348" t="s">
        <v>15</v>
      </c>
      <c r="G348" s="4">
        <v>43000</v>
      </c>
      <c r="H348" s="5">
        <v>54550</v>
      </c>
      <c r="I348" s="5">
        <f t="shared" si="23"/>
        <v>2345650000</v>
      </c>
      <c r="J348" s="6" t="s">
        <v>23</v>
      </c>
      <c r="K348" s="6">
        <f t="shared" si="24"/>
        <v>36548.5</v>
      </c>
      <c r="L348" s="10">
        <f t="shared" si="25"/>
        <v>18001.5</v>
      </c>
      <c r="M348" s="10">
        <f t="shared" si="26"/>
        <v>774064500</v>
      </c>
      <c r="N348" s="10"/>
      <c r="O348" s="26"/>
    </row>
    <row r="349" spans="1:17" x14ac:dyDescent="0.3">
      <c r="A349" s="3">
        <v>45961</v>
      </c>
      <c r="B349" s="22" t="s">
        <v>48</v>
      </c>
      <c r="C349" s="25">
        <v>2025</v>
      </c>
      <c r="D349" s="3" t="s">
        <v>9</v>
      </c>
      <c r="E349" t="s">
        <v>4</v>
      </c>
      <c r="F349" t="s">
        <v>16</v>
      </c>
      <c r="G349" s="4">
        <v>265700</v>
      </c>
      <c r="H349" s="5">
        <v>48800</v>
      </c>
      <c r="I349" s="5">
        <f t="shared" si="23"/>
        <v>12966160000</v>
      </c>
      <c r="J349" s="6" t="s">
        <v>23</v>
      </c>
      <c r="K349" s="6">
        <f t="shared" si="24"/>
        <v>27798.334888000001</v>
      </c>
      <c r="L349" s="10">
        <f t="shared" si="25"/>
        <v>21001.665111999999</v>
      </c>
      <c r="M349" s="10">
        <f t="shared" si="26"/>
        <v>5580142420.2584</v>
      </c>
      <c r="N349" s="10"/>
      <c r="O349" s="26"/>
    </row>
    <row r="350" spans="1:17" x14ac:dyDescent="0.3">
      <c r="A350" s="3">
        <v>45961</v>
      </c>
      <c r="B350" s="22" t="s">
        <v>48</v>
      </c>
      <c r="C350" s="25">
        <v>2025</v>
      </c>
      <c r="D350" s="3" t="s">
        <v>9</v>
      </c>
      <c r="E350" t="s">
        <v>5</v>
      </c>
      <c r="F350" t="s">
        <v>15</v>
      </c>
      <c r="G350" s="4">
        <v>372000</v>
      </c>
      <c r="H350" s="5">
        <v>12300</v>
      </c>
      <c r="I350" s="5">
        <f t="shared" si="23"/>
        <v>4575600000</v>
      </c>
      <c r="J350" s="6" t="s">
        <v>23</v>
      </c>
      <c r="K350" s="6">
        <f t="shared" si="24"/>
        <v>7995</v>
      </c>
      <c r="L350" s="10">
        <f t="shared" si="25"/>
        <v>4305</v>
      </c>
      <c r="M350" s="10">
        <f t="shared" si="26"/>
        <v>1601460000</v>
      </c>
      <c r="N350" s="10"/>
      <c r="O350" s="26"/>
    </row>
    <row r="351" spans="1:17" x14ac:dyDescent="0.3">
      <c r="A351" s="3">
        <v>45961</v>
      </c>
      <c r="B351" s="22" t="s">
        <v>48</v>
      </c>
      <c r="C351" s="25">
        <v>2025</v>
      </c>
      <c r="D351" s="3" t="s">
        <v>10</v>
      </c>
      <c r="E351" t="s">
        <v>2</v>
      </c>
      <c r="F351" t="s">
        <v>15</v>
      </c>
      <c r="G351" s="4">
        <v>39000</v>
      </c>
      <c r="H351" s="5">
        <v>56750</v>
      </c>
      <c r="I351" s="5">
        <f t="shared" si="23"/>
        <v>2213250000</v>
      </c>
      <c r="J351" s="6" t="s">
        <v>23</v>
      </c>
      <c r="K351" s="6">
        <f t="shared" si="24"/>
        <v>38306.25</v>
      </c>
      <c r="L351" s="10">
        <f t="shared" si="25"/>
        <v>18443.75</v>
      </c>
      <c r="M351" s="10">
        <f t="shared" si="26"/>
        <v>719306250</v>
      </c>
      <c r="N351" s="10"/>
      <c r="O351" s="26"/>
    </row>
    <row r="352" spans="1:17" x14ac:dyDescent="0.3">
      <c r="A352" s="3">
        <v>45961</v>
      </c>
      <c r="B352" s="22" t="s">
        <v>48</v>
      </c>
      <c r="C352" s="25">
        <v>2025</v>
      </c>
      <c r="D352" s="3" t="s">
        <v>10</v>
      </c>
      <c r="E352" t="s">
        <v>3</v>
      </c>
      <c r="F352" t="s">
        <v>15</v>
      </c>
      <c r="G352" s="4">
        <v>46000</v>
      </c>
      <c r="H352" s="5">
        <v>54550</v>
      </c>
      <c r="I352" s="5">
        <f t="shared" si="23"/>
        <v>2509300000</v>
      </c>
      <c r="J352" s="6" t="s">
        <v>23</v>
      </c>
      <c r="K352" s="6">
        <f t="shared" si="24"/>
        <v>36548.5</v>
      </c>
      <c r="L352" s="10">
        <f t="shared" si="25"/>
        <v>18001.5</v>
      </c>
      <c r="M352" s="10">
        <f t="shared" si="26"/>
        <v>828069000</v>
      </c>
      <c r="N352" s="10"/>
      <c r="O352" s="26"/>
    </row>
    <row r="353" spans="1:15" x14ac:dyDescent="0.3">
      <c r="A353" s="3">
        <v>45961</v>
      </c>
      <c r="B353" s="22" t="s">
        <v>48</v>
      </c>
      <c r="C353" s="25">
        <v>2025</v>
      </c>
      <c r="D353" s="3" t="s">
        <v>10</v>
      </c>
      <c r="E353" t="s">
        <v>4</v>
      </c>
      <c r="F353" t="s">
        <v>16</v>
      </c>
      <c r="G353" s="4">
        <v>235000</v>
      </c>
      <c r="H353" s="5">
        <v>48800</v>
      </c>
      <c r="I353" s="5">
        <f t="shared" si="23"/>
        <v>11468000000</v>
      </c>
      <c r="J353" s="6" t="s">
        <v>23</v>
      </c>
      <c r="K353" s="6">
        <f t="shared" si="24"/>
        <v>27798.334888000001</v>
      </c>
      <c r="L353" s="10">
        <f t="shared" si="25"/>
        <v>21001.665111999999</v>
      </c>
      <c r="M353" s="10">
        <f t="shared" si="26"/>
        <v>4935391301.3199997</v>
      </c>
      <c r="N353" s="10"/>
      <c r="O353" s="26"/>
    </row>
    <row r="354" spans="1:15" x14ac:dyDescent="0.3">
      <c r="A354" s="3">
        <v>45961</v>
      </c>
      <c r="B354" s="22" t="s">
        <v>48</v>
      </c>
      <c r="C354" s="25">
        <v>2025</v>
      </c>
      <c r="D354" s="3" t="s">
        <v>10</v>
      </c>
      <c r="E354" t="s">
        <v>5</v>
      </c>
      <c r="F354" t="s">
        <v>15</v>
      </c>
      <c r="G354" s="4">
        <v>345000</v>
      </c>
      <c r="H354" s="5">
        <v>12300</v>
      </c>
      <c r="I354" s="5">
        <f t="shared" si="23"/>
        <v>4243500000</v>
      </c>
      <c r="J354" s="6" t="s">
        <v>23</v>
      </c>
      <c r="K354" s="6">
        <f t="shared" si="24"/>
        <v>7995</v>
      </c>
      <c r="L354" s="10">
        <f t="shared" si="25"/>
        <v>4305</v>
      </c>
      <c r="M354" s="10">
        <f t="shared" si="26"/>
        <v>1485225000</v>
      </c>
      <c r="N354" s="10"/>
      <c r="O354" s="26"/>
    </row>
    <row r="355" spans="1:15" x14ac:dyDescent="0.3">
      <c r="A355" s="3">
        <v>45991</v>
      </c>
      <c r="B355" s="22" t="s">
        <v>49</v>
      </c>
      <c r="C355" s="25">
        <v>2025</v>
      </c>
      <c r="D355" s="3" t="s">
        <v>7</v>
      </c>
      <c r="E355" t="s">
        <v>2</v>
      </c>
      <c r="F355" t="s">
        <v>15</v>
      </c>
      <c r="G355">
        <v>36000</v>
      </c>
      <c r="H355" s="5">
        <v>56750</v>
      </c>
      <c r="I355" s="5">
        <f t="shared" si="23"/>
        <v>2043000000</v>
      </c>
      <c r="J355" s="6" t="s">
        <v>23</v>
      </c>
      <c r="K355" s="6">
        <f t="shared" si="24"/>
        <v>38306.25</v>
      </c>
      <c r="L355" s="10">
        <f t="shared" si="25"/>
        <v>18443.75</v>
      </c>
      <c r="M355" s="10">
        <f t="shared" si="26"/>
        <v>663975000</v>
      </c>
      <c r="N355" s="10"/>
      <c r="O355" s="26"/>
    </row>
    <row r="356" spans="1:15" x14ac:dyDescent="0.3">
      <c r="A356" s="3">
        <v>45991</v>
      </c>
      <c r="B356" s="22" t="s">
        <v>49</v>
      </c>
      <c r="C356" s="25">
        <v>2025</v>
      </c>
      <c r="D356" s="3" t="s">
        <v>7</v>
      </c>
      <c r="E356" t="s">
        <v>3</v>
      </c>
      <c r="F356" t="s">
        <v>15</v>
      </c>
      <c r="G356" s="4">
        <v>42500</v>
      </c>
      <c r="H356" s="5">
        <v>54550</v>
      </c>
      <c r="I356" s="5">
        <f t="shared" si="23"/>
        <v>2318375000</v>
      </c>
      <c r="J356" s="6" t="s">
        <v>23</v>
      </c>
      <c r="K356" s="6">
        <f t="shared" si="24"/>
        <v>36548.5</v>
      </c>
      <c r="L356" s="10">
        <f t="shared" si="25"/>
        <v>18001.5</v>
      </c>
      <c r="M356" s="10">
        <f t="shared" si="26"/>
        <v>765063750</v>
      </c>
      <c r="N356" s="10"/>
      <c r="O356" s="26"/>
    </row>
    <row r="357" spans="1:15" x14ac:dyDescent="0.3">
      <c r="A357" s="3">
        <v>45991</v>
      </c>
      <c r="B357" s="22" t="s">
        <v>49</v>
      </c>
      <c r="C357" s="25">
        <v>2025</v>
      </c>
      <c r="D357" s="3" t="s">
        <v>7</v>
      </c>
      <c r="E357" t="s">
        <v>4</v>
      </c>
      <c r="F357" t="s">
        <v>16</v>
      </c>
      <c r="G357">
        <v>248000</v>
      </c>
      <c r="H357" s="5">
        <v>48800</v>
      </c>
      <c r="I357" s="5">
        <f t="shared" si="23"/>
        <v>12102400000</v>
      </c>
      <c r="J357" s="6" t="s">
        <v>23</v>
      </c>
      <c r="K357" s="6">
        <f t="shared" si="24"/>
        <v>27798.334888000001</v>
      </c>
      <c r="L357" s="10">
        <f t="shared" si="25"/>
        <v>21001.665111999999</v>
      </c>
      <c r="M357" s="10">
        <f t="shared" si="26"/>
        <v>5208412947.776</v>
      </c>
      <c r="N357" s="10"/>
      <c r="O357" s="26"/>
    </row>
    <row r="358" spans="1:15" x14ac:dyDescent="0.3">
      <c r="A358" s="3">
        <v>45991</v>
      </c>
      <c r="B358" s="22" t="s">
        <v>49</v>
      </c>
      <c r="C358" s="25">
        <v>2025</v>
      </c>
      <c r="D358" s="3" t="s">
        <v>7</v>
      </c>
      <c r="E358" t="s">
        <v>5</v>
      </c>
      <c r="F358" t="s">
        <v>15</v>
      </c>
      <c r="G358" s="4">
        <v>340000</v>
      </c>
      <c r="H358" s="5">
        <v>12300</v>
      </c>
      <c r="I358" s="5">
        <f t="shared" si="23"/>
        <v>4182000000</v>
      </c>
      <c r="J358" s="6" t="s">
        <v>23</v>
      </c>
      <c r="K358" s="6">
        <f t="shared" si="24"/>
        <v>7995</v>
      </c>
      <c r="L358" s="10">
        <f t="shared" si="25"/>
        <v>4305</v>
      </c>
      <c r="M358" s="10">
        <f t="shared" si="26"/>
        <v>1463700000</v>
      </c>
      <c r="N358" s="10"/>
      <c r="O358" s="26"/>
    </row>
    <row r="359" spans="1:15" x14ac:dyDescent="0.3">
      <c r="A359" s="3">
        <v>45991</v>
      </c>
      <c r="B359" s="22" t="s">
        <v>49</v>
      </c>
      <c r="C359" s="25">
        <v>2025</v>
      </c>
      <c r="D359" s="3" t="s">
        <v>8</v>
      </c>
      <c r="E359" t="s">
        <v>2</v>
      </c>
      <c r="F359" t="s">
        <v>15</v>
      </c>
      <c r="G359">
        <v>36700</v>
      </c>
      <c r="H359" s="5">
        <v>56750</v>
      </c>
      <c r="I359" s="5">
        <f t="shared" si="23"/>
        <v>2082725000</v>
      </c>
      <c r="J359" s="6" t="s">
        <v>23</v>
      </c>
      <c r="K359" s="6">
        <f t="shared" si="24"/>
        <v>38306.25</v>
      </c>
      <c r="L359" s="10">
        <f t="shared" si="25"/>
        <v>18443.75</v>
      </c>
      <c r="M359" s="10">
        <f t="shared" si="26"/>
        <v>676885625</v>
      </c>
      <c r="N359" s="10"/>
      <c r="O359" s="26"/>
    </row>
    <row r="360" spans="1:15" x14ac:dyDescent="0.3">
      <c r="A360" s="3">
        <v>45991</v>
      </c>
      <c r="B360" s="22" t="s">
        <v>49</v>
      </c>
      <c r="C360" s="25">
        <v>2025</v>
      </c>
      <c r="D360" s="3" t="s">
        <v>8</v>
      </c>
      <c r="E360" t="s">
        <v>3</v>
      </c>
      <c r="F360" t="s">
        <v>15</v>
      </c>
      <c r="G360" s="4">
        <v>43000</v>
      </c>
      <c r="H360" s="5">
        <v>54550</v>
      </c>
      <c r="I360" s="5">
        <f t="shared" si="23"/>
        <v>2345650000</v>
      </c>
      <c r="J360" s="6" t="s">
        <v>23</v>
      </c>
      <c r="K360" s="6">
        <f t="shared" si="24"/>
        <v>36548.5</v>
      </c>
      <c r="L360" s="10">
        <f t="shared" si="25"/>
        <v>18001.5</v>
      </c>
      <c r="M360" s="10">
        <f t="shared" si="26"/>
        <v>774064500</v>
      </c>
      <c r="N360" s="10"/>
      <c r="O360" s="26"/>
    </row>
    <row r="361" spans="1:15" x14ac:dyDescent="0.3">
      <c r="A361" s="3">
        <v>45991</v>
      </c>
      <c r="B361" s="22" t="s">
        <v>49</v>
      </c>
      <c r="C361" s="25">
        <v>2025</v>
      </c>
      <c r="D361" s="3" t="s">
        <v>8</v>
      </c>
      <c r="E361" t="s">
        <v>4</v>
      </c>
      <c r="F361" t="s">
        <v>16</v>
      </c>
      <c r="G361">
        <v>267000</v>
      </c>
      <c r="H361" s="5">
        <v>48800</v>
      </c>
      <c r="I361" s="5">
        <f t="shared" si="23"/>
        <v>13029600000</v>
      </c>
      <c r="J361" s="6" t="s">
        <v>23</v>
      </c>
      <c r="K361" s="6">
        <f t="shared" si="24"/>
        <v>27798.334888000001</v>
      </c>
      <c r="L361" s="10">
        <f t="shared" si="25"/>
        <v>21001.665111999999</v>
      </c>
      <c r="M361" s="10">
        <f t="shared" si="26"/>
        <v>5607444584.9039993</v>
      </c>
      <c r="N361" s="10"/>
      <c r="O361" s="26"/>
    </row>
    <row r="362" spans="1:15" x14ac:dyDescent="0.3">
      <c r="A362" s="3">
        <v>45991</v>
      </c>
      <c r="B362" s="22" t="s">
        <v>49</v>
      </c>
      <c r="C362" s="25">
        <v>2025</v>
      </c>
      <c r="D362" s="3" t="s">
        <v>8</v>
      </c>
      <c r="E362" t="s">
        <v>5</v>
      </c>
      <c r="F362" t="s">
        <v>15</v>
      </c>
      <c r="G362" s="4">
        <v>368000</v>
      </c>
      <c r="H362" s="5">
        <v>12300</v>
      </c>
      <c r="I362" s="5">
        <f t="shared" ref="I362:I386" si="27">H362*G362</f>
        <v>4526400000</v>
      </c>
      <c r="J362" s="6" t="s">
        <v>23</v>
      </c>
      <c r="K362" s="6">
        <f t="shared" si="24"/>
        <v>7995</v>
      </c>
      <c r="L362" s="10">
        <f t="shared" si="25"/>
        <v>4305</v>
      </c>
      <c r="M362" s="10">
        <f t="shared" si="26"/>
        <v>1584240000</v>
      </c>
      <c r="N362" s="10"/>
      <c r="O362" s="26"/>
    </row>
    <row r="363" spans="1:15" x14ac:dyDescent="0.3">
      <c r="A363" s="3">
        <v>45991</v>
      </c>
      <c r="B363" s="22" t="s">
        <v>49</v>
      </c>
      <c r="C363" s="25">
        <v>2025</v>
      </c>
      <c r="D363" s="3" t="s">
        <v>9</v>
      </c>
      <c r="E363" t="s">
        <v>2</v>
      </c>
      <c r="F363" t="s">
        <v>15</v>
      </c>
      <c r="G363">
        <v>36800</v>
      </c>
      <c r="H363" s="5">
        <v>56750</v>
      </c>
      <c r="I363" s="5">
        <f t="shared" si="27"/>
        <v>2088400000</v>
      </c>
      <c r="J363" s="6" t="s">
        <v>23</v>
      </c>
      <c r="K363" s="6">
        <f t="shared" si="24"/>
        <v>38306.25</v>
      </c>
      <c r="L363" s="10">
        <f t="shared" si="25"/>
        <v>18443.75</v>
      </c>
      <c r="M363" s="10">
        <f t="shared" si="26"/>
        <v>678730000</v>
      </c>
      <c r="N363" s="10"/>
      <c r="O363" s="26"/>
    </row>
    <row r="364" spans="1:15" x14ac:dyDescent="0.3">
      <c r="A364" s="3">
        <v>45991</v>
      </c>
      <c r="B364" s="22" t="s">
        <v>49</v>
      </c>
      <c r="C364" s="25">
        <v>2025</v>
      </c>
      <c r="D364" s="3" t="s">
        <v>9</v>
      </c>
      <c r="E364" t="s">
        <v>3</v>
      </c>
      <c r="F364" t="s">
        <v>15</v>
      </c>
      <c r="G364" s="4">
        <v>43100</v>
      </c>
      <c r="H364" s="5">
        <v>54550</v>
      </c>
      <c r="I364" s="5">
        <f t="shared" si="27"/>
        <v>2351105000</v>
      </c>
      <c r="J364" s="6" t="s">
        <v>23</v>
      </c>
      <c r="K364" s="6">
        <f t="shared" si="24"/>
        <v>36548.5</v>
      </c>
      <c r="L364" s="10">
        <f t="shared" si="25"/>
        <v>18001.5</v>
      </c>
      <c r="M364" s="10">
        <f t="shared" si="26"/>
        <v>775864650</v>
      </c>
      <c r="N364" s="10"/>
      <c r="O364" s="26"/>
    </row>
    <row r="365" spans="1:15" x14ac:dyDescent="0.3">
      <c r="A365" s="3">
        <v>45991</v>
      </c>
      <c r="B365" s="22" t="s">
        <v>49</v>
      </c>
      <c r="C365" s="25">
        <v>2025</v>
      </c>
      <c r="D365" s="3" t="s">
        <v>9</v>
      </c>
      <c r="E365" t="s">
        <v>4</v>
      </c>
      <c r="F365" t="s">
        <v>16</v>
      </c>
      <c r="G365">
        <v>268000</v>
      </c>
      <c r="H365" s="5">
        <v>48800</v>
      </c>
      <c r="I365" s="5">
        <f t="shared" si="27"/>
        <v>13078400000</v>
      </c>
      <c r="J365" s="6" t="s">
        <v>23</v>
      </c>
      <c r="K365" s="6">
        <f t="shared" si="24"/>
        <v>27798.334888000001</v>
      </c>
      <c r="L365" s="10">
        <f t="shared" si="25"/>
        <v>21001.665111999999</v>
      </c>
      <c r="M365" s="10">
        <f t="shared" si="26"/>
        <v>5628446250.0159998</v>
      </c>
      <c r="N365" s="10"/>
      <c r="O365" s="26"/>
    </row>
    <row r="366" spans="1:15" x14ac:dyDescent="0.3">
      <c r="A366" s="3">
        <v>45991</v>
      </c>
      <c r="B366" s="22" t="s">
        <v>49</v>
      </c>
      <c r="C366" s="25">
        <v>2025</v>
      </c>
      <c r="D366" s="3" t="s">
        <v>9</v>
      </c>
      <c r="E366" t="s">
        <v>5</v>
      </c>
      <c r="F366" t="s">
        <v>15</v>
      </c>
      <c r="G366">
        <v>352000</v>
      </c>
      <c r="H366" s="5">
        <v>12300</v>
      </c>
      <c r="I366" s="5">
        <f t="shared" si="27"/>
        <v>4329600000</v>
      </c>
      <c r="J366" s="6" t="s">
        <v>23</v>
      </c>
      <c r="K366" s="6">
        <f t="shared" si="24"/>
        <v>7995</v>
      </c>
      <c r="L366" s="10">
        <f t="shared" si="25"/>
        <v>4305</v>
      </c>
      <c r="M366" s="10">
        <f t="shared" si="26"/>
        <v>1515360000</v>
      </c>
      <c r="N366" s="10"/>
      <c r="O366" s="26"/>
    </row>
    <row r="367" spans="1:15" x14ac:dyDescent="0.3">
      <c r="A367" s="3">
        <v>45991</v>
      </c>
      <c r="B367" s="22" t="s">
        <v>49</v>
      </c>
      <c r="C367" s="25">
        <v>2025</v>
      </c>
      <c r="D367" s="3" t="s">
        <v>10</v>
      </c>
      <c r="E367" t="s">
        <v>2</v>
      </c>
      <c r="F367" t="s">
        <v>15</v>
      </c>
      <c r="G367">
        <v>38700</v>
      </c>
      <c r="H367" s="5">
        <v>56750</v>
      </c>
      <c r="I367" s="5">
        <f t="shared" si="27"/>
        <v>2196225000</v>
      </c>
      <c r="J367" s="6" t="s">
        <v>23</v>
      </c>
      <c r="K367" s="6">
        <f t="shared" si="24"/>
        <v>38306.25</v>
      </c>
      <c r="L367" s="10">
        <f t="shared" si="25"/>
        <v>18443.75</v>
      </c>
      <c r="M367" s="10">
        <f t="shared" si="26"/>
        <v>713773125</v>
      </c>
      <c r="N367" s="10"/>
      <c r="O367" s="26"/>
    </row>
    <row r="368" spans="1:15" x14ac:dyDescent="0.3">
      <c r="A368" s="3">
        <v>45991</v>
      </c>
      <c r="B368" s="22" t="s">
        <v>49</v>
      </c>
      <c r="C368" s="25">
        <v>2025</v>
      </c>
      <c r="D368" s="3" t="s">
        <v>10</v>
      </c>
      <c r="E368" t="s">
        <v>3</v>
      </c>
      <c r="F368" t="s">
        <v>15</v>
      </c>
      <c r="G368" s="4">
        <v>44000</v>
      </c>
      <c r="H368" s="5">
        <v>54550</v>
      </c>
      <c r="I368" s="5">
        <f t="shared" si="27"/>
        <v>2400200000</v>
      </c>
      <c r="J368" s="6" t="s">
        <v>23</v>
      </c>
      <c r="K368" s="6">
        <f t="shared" si="24"/>
        <v>36548.5</v>
      </c>
      <c r="L368" s="10">
        <f t="shared" si="25"/>
        <v>18001.5</v>
      </c>
      <c r="M368" s="10">
        <f t="shared" si="26"/>
        <v>792066000</v>
      </c>
      <c r="N368" s="10"/>
      <c r="O368" s="26"/>
    </row>
    <row r="369" spans="1:19" x14ac:dyDescent="0.3">
      <c r="A369" s="3">
        <v>45991</v>
      </c>
      <c r="B369" s="22" t="s">
        <v>49</v>
      </c>
      <c r="C369" s="25">
        <v>2025</v>
      </c>
      <c r="D369" s="3" t="s">
        <v>10</v>
      </c>
      <c r="E369" t="s">
        <v>4</v>
      </c>
      <c r="F369" t="s">
        <v>16</v>
      </c>
      <c r="G369">
        <v>276000</v>
      </c>
      <c r="H369" s="5">
        <v>48800</v>
      </c>
      <c r="I369" s="5">
        <f t="shared" si="27"/>
        <v>13468800000</v>
      </c>
      <c r="J369" s="6" t="s">
        <v>23</v>
      </c>
      <c r="K369" s="6">
        <f t="shared" si="24"/>
        <v>27798.334888000001</v>
      </c>
      <c r="L369" s="10">
        <f t="shared" si="25"/>
        <v>21001.665111999999</v>
      </c>
      <c r="M369" s="10">
        <f t="shared" si="26"/>
        <v>5796459570.9119997</v>
      </c>
      <c r="N369" s="10"/>
      <c r="O369" s="26"/>
    </row>
    <row r="370" spans="1:19" x14ac:dyDescent="0.3">
      <c r="A370" s="3">
        <v>45991</v>
      </c>
      <c r="B370" s="22" t="s">
        <v>49</v>
      </c>
      <c r="C370" s="25">
        <v>2025</v>
      </c>
      <c r="D370" s="3" t="s">
        <v>10</v>
      </c>
      <c r="E370" t="s">
        <v>5</v>
      </c>
      <c r="F370" t="s">
        <v>15</v>
      </c>
      <c r="G370">
        <v>346900</v>
      </c>
      <c r="H370" s="5">
        <v>12300</v>
      </c>
      <c r="I370" s="5">
        <f t="shared" si="27"/>
        <v>4266870000</v>
      </c>
      <c r="J370" s="6" t="s">
        <v>23</v>
      </c>
      <c r="K370" s="6">
        <f t="shared" si="24"/>
        <v>7995</v>
      </c>
      <c r="L370" s="10">
        <f t="shared" si="25"/>
        <v>4305</v>
      </c>
      <c r="M370" s="10">
        <f t="shared" si="26"/>
        <v>1493404500</v>
      </c>
      <c r="N370" s="10"/>
      <c r="O370" s="26"/>
    </row>
    <row r="371" spans="1:19" x14ac:dyDescent="0.3">
      <c r="A371" s="3">
        <v>46022</v>
      </c>
      <c r="B371" s="22" t="s">
        <v>50</v>
      </c>
      <c r="C371" s="25">
        <v>2025</v>
      </c>
      <c r="D371" s="3" t="s">
        <v>7</v>
      </c>
      <c r="E371" t="s">
        <v>2</v>
      </c>
      <c r="F371" t="s">
        <v>15</v>
      </c>
      <c r="G371">
        <v>37500</v>
      </c>
      <c r="H371" s="5">
        <v>56750</v>
      </c>
      <c r="I371" s="5">
        <f t="shared" si="27"/>
        <v>2128125000</v>
      </c>
      <c r="J371" s="6" t="s">
        <v>23</v>
      </c>
      <c r="K371" s="6">
        <f t="shared" si="24"/>
        <v>38306.25</v>
      </c>
      <c r="L371" s="10">
        <f t="shared" si="25"/>
        <v>18443.75</v>
      </c>
      <c r="M371" s="10">
        <f t="shared" si="26"/>
        <v>691640625</v>
      </c>
      <c r="N371" s="10"/>
      <c r="O371" s="26"/>
    </row>
    <row r="372" spans="1:19" x14ac:dyDescent="0.3">
      <c r="A372" s="3">
        <v>46022</v>
      </c>
      <c r="B372" s="22" t="s">
        <v>50</v>
      </c>
      <c r="C372" s="25">
        <v>2025</v>
      </c>
      <c r="D372" s="3" t="s">
        <v>7</v>
      </c>
      <c r="E372" t="s">
        <v>3</v>
      </c>
      <c r="F372" t="s">
        <v>15</v>
      </c>
      <c r="G372" s="4">
        <v>39000</v>
      </c>
      <c r="H372" s="5">
        <v>54550</v>
      </c>
      <c r="I372" s="5">
        <f t="shared" si="27"/>
        <v>2127450000</v>
      </c>
      <c r="J372" s="6" t="s">
        <v>23</v>
      </c>
      <c r="K372" s="6">
        <f t="shared" si="24"/>
        <v>36548.5</v>
      </c>
      <c r="L372" s="10">
        <f t="shared" si="25"/>
        <v>18001.5</v>
      </c>
      <c r="M372" s="10">
        <f t="shared" si="26"/>
        <v>702058500</v>
      </c>
      <c r="N372" s="10"/>
      <c r="O372" s="26"/>
    </row>
    <row r="373" spans="1:19" x14ac:dyDescent="0.3">
      <c r="A373" s="3">
        <v>46022</v>
      </c>
      <c r="B373" s="22" t="s">
        <v>50</v>
      </c>
      <c r="C373" s="25">
        <v>2025</v>
      </c>
      <c r="D373" s="3" t="s">
        <v>7</v>
      </c>
      <c r="E373" t="s">
        <v>4</v>
      </c>
      <c r="F373" t="s">
        <v>16</v>
      </c>
      <c r="G373">
        <v>273700</v>
      </c>
      <c r="H373" s="5">
        <v>48800</v>
      </c>
      <c r="I373" s="5">
        <f t="shared" si="27"/>
        <v>13356560000</v>
      </c>
      <c r="J373" s="6" t="s">
        <v>23</v>
      </c>
      <c r="K373" s="6">
        <f t="shared" si="24"/>
        <v>27798.334888000001</v>
      </c>
      <c r="L373" s="10">
        <f t="shared" si="25"/>
        <v>21001.665111999999</v>
      </c>
      <c r="M373" s="10">
        <f t="shared" si="26"/>
        <v>5748155741.1543999</v>
      </c>
      <c r="N373" s="10"/>
      <c r="O373" s="26"/>
    </row>
    <row r="374" spans="1:19" x14ac:dyDescent="0.3">
      <c r="A374" s="3">
        <v>46022</v>
      </c>
      <c r="B374" s="22" t="s">
        <v>50</v>
      </c>
      <c r="C374" s="25">
        <v>2025</v>
      </c>
      <c r="D374" s="3" t="s">
        <v>7</v>
      </c>
      <c r="E374" t="s">
        <v>5</v>
      </c>
      <c r="F374" t="s">
        <v>15</v>
      </c>
      <c r="G374">
        <v>342000</v>
      </c>
      <c r="H374" s="5">
        <v>12300</v>
      </c>
      <c r="I374" s="5">
        <f t="shared" si="27"/>
        <v>4206600000</v>
      </c>
      <c r="J374" s="6" t="s">
        <v>23</v>
      </c>
      <c r="K374" s="6">
        <f t="shared" si="24"/>
        <v>7995</v>
      </c>
      <c r="L374" s="10">
        <f t="shared" si="25"/>
        <v>4305</v>
      </c>
      <c r="M374" s="10">
        <f t="shared" si="26"/>
        <v>1472310000</v>
      </c>
      <c r="N374" s="10"/>
      <c r="O374" s="26"/>
    </row>
    <row r="375" spans="1:19" x14ac:dyDescent="0.3">
      <c r="A375" s="3">
        <v>46022</v>
      </c>
      <c r="B375" s="22" t="s">
        <v>50</v>
      </c>
      <c r="C375" s="25">
        <v>2025</v>
      </c>
      <c r="D375" s="3" t="s">
        <v>8</v>
      </c>
      <c r="E375" t="s">
        <v>2</v>
      </c>
      <c r="F375" t="s">
        <v>15</v>
      </c>
      <c r="G375">
        <v>35000</v>
      </c>
      <c r="H375" s="5">
        <v>56750</v>
      </c>
      <c r="I375" s="5">
        <f t="shared" si="27"/>
        <v>1986250000</v>
      </c>
      <c r="J375" s="6" t="s">
        <v>23</v>
      </c>
      <c r="K375" s="6">
        <f t="shared" si="24"/>
        <v>38306.25</v>
      </c>
      <c r="L375" s="10">
        <f t="shared" si="25"/>
        <v>18443.75</v>
      </c>
      <c r="M375" s="10">
        <f t="shared" si="26"/>
        <v>645531250</v>
      </c>
      <c r="N375" s="10"/>
      <c r="O375" s="26"/>
    </row>
    <row r="376" spans="1:19" x14ac:dyDescent="0.3">
      <c r="A376" s="3">
        <v>46022</v>
      </c>
      <c r="B376" s="22" t="s">
        <v>50</v>
      </c>
      <c r="C376" s="25">
        <v>2025</v>
      </c>
      <c r="D376" s="3" t="s">
        <v>8</v>
      </c>
      <c r="E376" t="s">
        <v>3</v>
      </c>
      <c r="F376" t="s">
        <v>15</v>
      </c>
      <c r="G376" s="4">
        <v>37000</v>
      </c>
      <c r="H376" s="5">
        <v>54550</v>
      </c>
      <c r="I376" s="5">
        <f t="shared" si="27"/>
        <v>2018350000</v>
      </c>
      <c r="J376" s="6" t="s">
        <v>23</v>
      </c>
      <c r="K376" s="6">
        <f t="shared" si="24"/>
        <v>36548.5</v>
      </c>
      <c r="L376" s="10">
        <f t="shared" si="25"/>
        <v>18001.5</v>
      </c>
      <c r="M376" s="10">
        <f t="shared" si="26"/>
        <v>666055500</v>
      </c>
      <c r="N376" s="10"/>
      <c r="O376" s="26"/>
    </row>
    <row r="377" spans="1:19" x14ac:dyDescent="0.3">
      <c r="A377" s="3">
        <v>46022</v>
      </c>
      <c r="B377" s="22" t="s">
        <v>50</v>
      </c>
      <c r="C377" s="25">
        <v>2025</v>
      </c>
      <c r="D377" s="3" t="s">
        <v>8</v>
      </c>
      <c r="E377" t="s">
        <v>4</v>
      </c>
      <c r="F377" t="s">
        <v>16</v>
      </c>
      <c r="G377">
        <v>274000</v>
      </c>
      <c r="H377" s="5">
        <v>48800</v>
      </c>
      <c r="I377" s="5">
        <f t="shared" si="27"/>
        <v>13371200000</v>
      </c>
      <c r="J377" s="6" t="s">
        <v>23</v>
      </c>
      <c r="K377" s="6">
        <f t="shared" si="24"/>
        <v>27798.334888000001</v>
      </c>
      <c r="L377" s="10">
        <f t="shared" si="25"/>
        <v>21001.665111999999</v>
      </c>
      <c r="M377" s="10">
        <f t="shared" si="26"/>
        <v>5754456240.6879997</v>
      </c>
      <c r="N377" s="10"/>
      <c r="O377" s="26"/>
    </row>
    <row r="378" spans="1:19" x14ac:dyDescent="0.3">
      <c r="A378" s="3">
        <v>46022</v>
      </c>
      <c r="B378" s="22" t="s">
        <v>50</v>
      </c>
      <c r="C378" s="25">
        <v>2025</v>
      </c>
      <c r="D378" s="3" t="s">
        <v>8</v>
      </c>
      <c r="E378" t="s">
        <v>5</v>
      </c>
      <c r="F378" t="s">
        <v>15</v>
      </c>
      <c r="G378">
        <v>350000</v>
      </c>
      <c r="H378" s="5">
        <v>12300</v>
      </c>
      <c r="I378" s="5">
        <f t="shared" si="27"/>
        <v>4305000000</v>
      </c>
      <c r="J378" s="6" t="s">
        <v>23</v>
      </c>
      <c r="K378" s="6">
        <f t="shared" si="24"/>
        <v>7995</v>
      </c>
      <c r="L378" s="10">
        <f t="shared" si="25"/>
        <v>4305</v>
      </c>
      <c r="M378" s="10">
        <f t="shared" si="26"/>
        <v>1506750000</v>
      </c>
      <c r="N378" s="10"/>
      <c r="O378" s="26"/>
    </row>
    <row r="379" spans="1:19" x14ac:dyDescent="0.3">
      <c r="A379" s="3">
        <v>46022</v>
      </c>
      <c r="B379" s="22" t="s">
        <v>50</v>
      </c>
      <c r="C379" s="25">
        <v>2025</v>
      </c>
      <c r="D379" s="3" t="s">
        <v>9</v>
      </c>
      <c r="E379" t="s">
        <v>2</v>
      </c>
      <c r="F379" t="s">
        <v>15</v>
      </c>
      <c r="G379">
        <v>37600</v>
      </c>
      <c r="H379" s="5">
        <v>56750</v>
      </c>
      <c r="I379" s="5">
        <f t="shared" si="27"/>
        <v>2133800000</v>
      </c>
      <c r="J379" s="6" t="s">
        <v>23</v>
      </c>
      <c r="K379" s="6">
        <f t="shared" si="24"/>
        <v>38306.25</v>
      </c>
      <c r="L379" s="10">
        <f t="shared" si="25"/>
        <v>18443.75</v>
      </c>
      <c r="M379" s="10">
        <f t="shared" si="26"/>
        <v>693485000</v>
      </c>
      <c r="N379" s="10"/>
      <c r="O379" s="26"/>
    </row>
    <row r="380" spans="1:19" x14ac:dyDescent="0.3">
      <c r="A380" s="3">
        <v>46022</v>
      </c>
      <c r="B380" s="22" t="s">
        <v>50</v>
      </c>
      <c r="C380" s="25">
        <v>2025</v>
      </c>
      <c r="D380" s="3" t="s">
        <v>9</v>
      </c>
      <c r="E380" t="s">
        <v>3</v>
      </c>
      <c r="F380" t="s">
        <v>15</v>
      </c>
      <c r="G380">
        <v>38000</v>
      </c>
      <c r="H380" s="5">
        <v>54550</v>
      </c>
      <c r="I380" s="5">
        <f t="shared" si="27"/>
        <v>2072900000</v>
      </c>
      <c r="J380" s="6" t="s">
        <v>23</v>
      </c>
      <c r="K380" s="6">
        <f t="shared" si="24"/>
        <v>36548.5</v>
      </c>
      <c r="L380" s="10">
        <f t="shared" si="25"/>
        <v>18001.5</v>
      </c>
      <c r="M380" s="10">
        <f t="shared" si="26"/>
        <v>684057000</v>
      </c>
      <c r="N380" s="10"/>
      <c r="O380" s="26"/>
    </row>
    <row r="381" spans="1:19" x14ac:dyDescent="0.3">
      <c r="A381" s="3">
        <v>46022</v>
      </c>
      <c r="B381" s="22" t="s">
        <v>50</v>
      </c>
      <c r="C381" s="25">
        <v>2025</v>
      </c>
      <c r="D381" s="3" t="s">
        <v>9</v>
      </c>
      <c r="E381" t="s">
        <v>4</v>
      </c>
      <c r="F381" t="s">
        <v>16</v>
      </c>
      <c r="G381">
        <v>288000</v>
      </c>
      <c r="H381" s="5">
        <v>48800</v>
      </c>
      <c r="I381" s="5">
        <f t="shared" si="27"/>
        <v>14054400000</v>
      </c>
      <c r="J381" s="6" t="s">
        <v>23</v>
      </c>
      <c r="K381" s="6">
        <f t="shared" si="24"/>
        <v>27798.334888000001</v>
      </c>
      <c r="L381" s="10">
        <f t="shared" si="25"/>
        <v>21001.665111999999</v>
      </c>
      <c r="M381" s="10">
        <f t="shared" si="26"/>
        <v>6048479552.2559996</v>
      </c>
      <c r="N381" s="10"/>
      <c r="O381" s="26"/>
      <c r="R381" s="17" t="s">
        <v>54</v>
      </c>
    </row>
    <row r="382" spans="1:19" x14ac:dyDescent="0.3">
      <c r="A382" s="3">
        <v>46022</v>
      </c>
      <c r="B382" s="22" t="s">
        <v>50</v>
      </c>
      <c r="C382" s="25">
        <v>2025</v>
      </c>
      <c r="D382" s="3" t="s">
        <v>9</v>
      </c>
      <c r="E382" t="s">
        <v>5</v>
      </c>
      <c r="F382" t="s">
        <v>15</v>
      </c>
      <c r="G382">
        <v>358000</v>
      </c>
      <c r="H382" s="5">
        <v>12300</v>
      </c>
      <c r="I382" s="5">
        <f t="shared" si="27"/>
        <v>4403400000</v>
      </c>
      <c r="J382" s="6" t="s">
        <v>23</v>
      </c>
      <c r="K382" s="6">
        <f t="shared" si="24"/>
        <v>7995</v>
      </c>
      <c r="L382" s="10">
        <f t="shared" si="25"/>
        <v>4305</v>
      </c>
      <c r="M382" s="10">
        <f t="shared" si="26"/>
        <v>1541190000</v>
      </c>
      <c r="N382" s="10"/>
      <c r="O382" s="26" t="s">
        <v>59</v>
      </c>
      <c r="P382" s="7" t="s">
        <v>3</v>
      </c>
      <c r="Q382" s="6">
        <f>SUM(I340,I344,I348,I352,I356,I360,I364,I368,I372,I376,I380,I384)</f>
        <v>27198630000</v>
      </c>
      <c r="R382" s="15" t="s">
        <v>2</v>
      </c>
      <c r="S382" s="6">
        <f>SUM(Q230,Q287,Q335,Q383)</f>
        <v>97923260000</v>
      </c>
    </row>
    <row r="383" spans="1:19" x14ac:dyDescent="0.3">
      <c r="A383" s="3">
        <v>46022</v>
      </c>
      <c r="B383" s="22" t="s">
        <v>50</v>
      </c>
      <c r="C383" s="25">
        <v>2025</v>
      </c>
      <c r="D383" s="3" t="s">
        <v>10</v>
      </c>
      <c r="E383" t="s">
        <v>2</v>
      </c>
      <c r="F383" t="s">
        <v>15</v>
      </c>
      <c r="G383">
        <v>39500</v>
      </c>
      <c r="H383" s="5">
        <v>56750</v>
      </c>
      <c r="I383" s="5">
        <f t="shared" si="27"/>
        <v>2241625000</v>
      </c>
      <c r="J383" s="6" t="s">
        <v>23</v>
      </c>
      <c r="K383" s="6">
        <f t="shared" si="24"/>
        <v>38306.25</v>
      </c>
      <c r="L383" s="10">
        <f t="shared" si="25"/>
        <v>18443.75</v>
      </c>
      <c r="M383" s="10">
        <f t="shared" si="26"/>
        <v>728528125</v>
      </c>
      <c r="N383" s="10"/>
      <c r="O383" s="26">
        <f>SUM(M195:M386)</f>
        <v>672159994700.62976</v>
      </c>
      <c r="P383" s="7" t="s">
        <v>36</v>
      </c>
      <c r="Q383" s="6">
        <f>SUM(I339,I343,I347,I351,I355,I359,I363,I367,I371,I375,I379,I383)</f>
        <v>25202675000</v>
      </c>
      <c r="R383" s="15" t="s">
        <v>3</v>
      </c>
      <c r="S383" s="6">
        <f>SUM(Q229,Q286,Q334,Q382)</f>
        <v>756701235000</v>
      </c>
    </row>
    <row r="384" spans="1:19" x14ac:dyDescent="0.3">
      <c r="A384" s="3">
        <v>46022</v>
      </c>
      <c r="B384" s="22" t="s">
        <v>50</v>
      </c>
      <c r="C384" s="25">
        <v>2025</v>
      </c>
      <c r="D384" s="3" t="s">
        <v>10</v>
      </c>
      <c r="E384" t="s">
        <v>3</v>
      </c>
      <c r="F384" t="s">
        <v>15</v>
      </c>
      <c r="G384">
        <v>43000</v>
      </c>
      <c r="H384" s="5">
        <v>54550</v>
      </c>
      <c r="I384" s="5">
        <f t="shared" si="27"/>
        <v>2345650000</v>
      </c>
      <c r="J384" s="6" t="s">
        <v>23</v>
      </c>
      <c r="K384" s="6">
        <f t="shared" si="24"/>
        <v>36548.5</v>
      </c>
      <c r="L384" s="10">
        <f t="shared" si="25"/>
        <v>18001.5</v>
      </c>
      <c r="M384" s="10">
        <f t="shared" si="26"/>
        <v>774064500</v>
      </c>
      <c r="N384" s="10"/>
      <c r="O384" s="26"/>
      <c r="P384" s="7" t="s">
        <v>4</v>
      </c>
      <c r="Q384" s="6">
        <f>SUM(I341,I345,I349,I353,I357,I361,I365,I369,I373,I377,I381,I385)</f>
        <v>155301120000</v>
      </c>
      <c r="R384" s="15" t="s">
        <v>4</v>
      </c>
      <c r="S384" s="6">
        <f>SUM(Q384,Q336,Q288,Q231)</f>
        <v>743385040000</v>
      </c>
    </row>
    <row r="385" spans="1:19" x14ac:dyDescent="0.3">
      <c r="A385" s="3">
        <v>46022</v>
      </c>
      <c r="B385" s="22" t="s">
        <v>50</v>
      </c>
      <c r="C385" s="25">
        <v>2025</v>
      </c>
      <c r="D385" s="3" t="s">
        <v>10</v>
      </c>
      <c r="E385" t="s">
        <v>4</v>
      </c>
      <c r="F385" t="s">
        <v>16</v>
      </c>
      <c r="G385">
        <v>276000</v>
      </c>
      <c r="H385" s="5">
        <v>48800</v>
      </c>
      <c r="I385" s="5">
        <f t="shared" si="27"/>
        <v>13468800000</v>
      </c>
      <c r="J385" s="6" t="s">
        <v>23</v>
      </c>
      <c r="K385" s="6">
        <f t="shared" si="24"/>
        <v>27798.334888000001</v>
      </c>
      <c r="L385" s="10">
        <f t="shared" si="25"/>
        <v>21001.665111999999</v>
      </c>
      <c r="M385" s="10">
        <f t="shared" si="26"/>
        <v>5796459570.9119997</v>
      </c>
      <c r="N385" s="10"/>
      <c r="O385" s="26"/>
      <c r="P385" s="7" t="s">
        <v>33</v>
      </c>
      <c r="Q385" s="6">
        <f>SUM(I342,I346,I350,I354,I358,I362,I366,I370,I374,I378,I382,I386)</f>
        <v>52199970000</v>
      </c>
      <c r="R385" s="15" t="s">
        <v>5</v>
      </c>
      <c r="S385" s="6">
        <f>SUM(Q385,Q337,Q289,Q232)</f>
        <v>201996750000</v>
      </c>
    </row>
    <row r="386" spans="1:19" x14ac:dyDescent="0.3">
      <c r="A386" s="3">
        <v>46022</v>
      </c>
      <c r="B386" s="22" t="s">
        <v>50</v>
      </c>
      <c r="C386" s="25">
        <v>2025</v>
      </c>
      <c r="D386" s="3" t="s">
        <v>10</v>
      </c>
      <c r="E386" t="s">
        <v>5</v>
      </c>
      <c r="F386" t="s">
        <v>15</v>
      </c>
      <c r="G386">
        <v>360000</v>
      </c>
      <c r="H386" s="5">
        <v>12300</v>
      </c>
      <c r="I386" s="5">
        <f t="shared" si="27"/>
        <v>4428000000</v>
      </c>
      <c r="J386" s="6" t="s">
        <v>23</v>
      </c>
      <c r="K386" s="6">
        <f t="shared" si="24"/>
        <v>7995</v>
      </c>
      <c r="L386" s="10">
        <f t="shared" si="25"/>
        <v>4305</v>
      </c>
      <c r="M386" s="10">
        <f t="shared" si="26"/>
        <v>1549800000</v>
      </c>
      <c r="N386" s="10"/>
      <c r="O386" s="26"/>
      <c r="P386" s="7" t="s">
        <v>31</v>
      </c>
      <c r="Q386" s="6">
        <f>SUM(I339:I386)</f>
        <v>259902395000</v>
      </c>
      <c r="R386" s="17" t="s">
        <v>53</v>
      </c>
      <c r="S386" s="6">
        <f>SUM(S382:S385)</f>
        <v>1800006285000</v>
      </c>
    </row>
    <row r="387" spans="1:19" x14ac:dyDescent="0.3">
      <c r="I387" s="5"/>
      <c r="J387" s="5"/>
      <c r="K387" s="5"/>
    </row>
    <row r="388" spans="1:19" x14ac:dyDescent="0.3">
      <c r="I388" s="5"/>
      <c r="J388" s="5"/>
      <c r="K388" s="5"/>
    </row>
    <row r="389" spans="1:19" x14ac:dyDescent="0.3">
      <c r="I389" s="5"/>
      <c r="J389" s="5"/>
      <c r="K389" s="5"/>
    </row>
    <row r="390" spans="1:19" x14ac:dyDescent="0.3">
      <c r="I390" s="5"/>
      <c r="J390" s="5"/>
      <c r="K390" s="5"/>
    </row>
    <row r="391" spans="1:19" x14ac:dyDescent="0.3">
      <c r="I391" s="5"/>
      <c r="J391" s="5"/>
      <c r="K391" s="5"/>
    </row>
    <row r="392" spans="1:19" x14ac:dyDescent="0.3">
      <c r="I392" s="5"/>
      <c r="J392" s="5"/>
      <c r="K392" s="5"/>
    </row>
    <row r="393" spans="1:19" x14ac:dyDescent="0.3">
      <c r="I393" s="5"/>
      <c r="J393" s="5"/>
      <c r="K393" s="5"/>
    </row>
    <row r="394" spans="1:19" x14ac:dyDescent="0.3">
      <c r="I394" s="5"/>
      <c r="J394" s="5"/>
      <c r="K394" s="5"/>
    </row>
    <row r="395" spans="1:19" x14ac:dyDescent="0.3">
      <c r="I395" s="5"/>
      <c r="J395" s="5"/>
      <c r="K395" s="5"/>
    </row>
    <row r="396" spans="1:19" x14ac:dyDescent="0.3">
      <c r="I396" s="5"/>
      <c r="J396" s="5"/>
      <c r="K396" s="5"/>
    </row>
    <row r="397" spans="1:19" x14ac:dyDescent="0.3">
      <c r="I397" s="5"/>
      <c r="J397" s="5"/>
      <c r="K397" s="5"/>
    </row>
    <row r="398" spans="1:19" x14ac:dyDescent="0.3">
      <c r="I398" s="5"/>
      <c r="J398" s="5"/>
      <c r="K398" s="5"/>
    </row>
    <row r="399" spans="1:19" x14ac:dyDescent="0.3">
      <c r="I399" s="5"/>
      <c r="J399" s="5"/>
      <c r="K399" s="5"/>
    </row>
    <row r="400" spans="1:19" x14ac:dyDescent="0.3">
      <c r="I400" s="5"/>
      <c r="J400" s="5"/>
      <c r="K400" s="5"/>
    </row>
    <row r="401" spans="9:11" x14ac:dyDescent="0.3">
      <c r="I401" s="5"/>
      <c r="J401" s="5"/>
      <c r="K401" s="5"/>
    </row>
    <row r="402" spans="9:11" x14ac:dyDescent="0.3">
      <c r="I402" s="5"/>
      <c r="J402" s="5"/>
      <c r="K402" s="5"/>
    </row>
    <row r="403" spans="9:11" x14ac:dyDescent="0.3">
      <c r="I403" s="5"/>
      <c r="J403" s="5"/>
      <c r="K403" s="5"/>
    </row>
    <row r="404" spans="9:11" x14ac:dyDescent="0.3">
      <c r="I404" s="5"/>
      <c r="J404" s="5"/>
      <c r="K404" s="5"/>
    </row>
    <row r="405" spans="9:11" x14ac:dyDescent="0.3">
      <c r="I405" s="5"/>
      <c r="J405" s="5"/>
      <c r="K405" s="5"/>
    </row>
    <row r="406" spans="9:11" x14ac:dyDescent="0.3">
      <c r="I406" s="5"/>
      <c r="J406" s="5"/>
      <c r="K406" s="5"/>
    </row>
    <row r="407" spans="9:11" x14ac:dyDescent="0.3">
      <c r="I407" s="5"/>
      <c r="J407" s="5"/>
      <c r="K407" s="5"/>
    </row>
    <row r="408" spans="9:11" x14ac:dyDescent="0.3">
      <c r="I408" s="5"/>
      <c r="J408" s="5"/>
      <c r="K408" s="5"/>
    </row>
    <row r="409" spans="9:11" x14ac:dyDescent="0.3">
      <c r="I409" s="5"/>
      <c r="J409" s="5"/>
      <c r="K409" s="5"/>
    </row>
    <row r="410" spans="9:11" x14ac:dyDescent="0.3">
      <c r="I410" s="5"/>
      <c r="J410" s="5"/>
      <c r="K410" s="5"/>
    </row>
    <row r="411" spans="9:11" x14ac:dyDescent="0.3">
      <c r="I411" s="5"/>
      <c r="J411" s="5"/>
      <c r="K411" s="5"/>
    </row>
    <row r="412" spans="9:11" x14ac:dyDescent="0.3">
      <c r="I412" s="5"/>
      <c r="J412" s="5"/>
      <c r="K412" s="5"/>
    </row>
    <row r="413" spans="9:11" x14ac:dyDescent="0.3">
      <c r="I413" s="5"/>
      <c r="J413" s="5"/>
      <c r="K413" s="5"/>
    </row>
    <row r="414" spans="9:11" x14ac:dyDescent="0.3">
      <c r="I414" s="5"/>
      <c r="J414" s="5"/>
      <c r="K414" s="5"/>
    </row>
    <row r="415" spans="9:11" x14ac:dyDescent="0.3">
      <c r="I415" s="5"/>
      <c r="J415" s="5"/>
      <c r="K415" s="5"/>
    </row>
    <row r="416" spans="9:11" x14ac:dyDescent="0.3">
      <c r="I416" s="5"/>
      <c r="J416" s="5"/>
      <c r="K416" s="5"/>
    </row>
  </sheetData>
  <pageMargins left="0.7" right="0.7" top="0.75" bottom="0.75" header="0.3" footer="0.3"/>
  <pageSetup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 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FEMI</dc:creator>
  <cp:lastModifiedBy>FEMI</cp:lastModifiedBy>
  <dcterms:created xsi:type="dcterms:W3CDTF">2026-02-27T11:19:59Z</dcterms:created>
  <dcterms:modified xsi:type="dcterms:W3CDTF">2026-05-21T08:03:29Z</dcterms:modified>
</cp:coreProperties>
</file>